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6.xml.rels" ContentType="application/vnd.openxmlformats-package.relationships+xml"/>
  <Override PartName="/xl/worksheets/_rels/sheet4.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Inputs" sheetId="2" state="visible" r:id="rId4"/>
    <sheet name="Depreciation" sheetId="3" state="visible" r:id="rId5"/>
    <sheet name="Models" sheetId="4" state="visible" r:id="rId6"/>
    <sheet name="Strategies" sheetId="5" state="visible" r:id="rId7"/>
    <sheet name="HoldPeriod" sheetId="6" state="visible" r:id="rId8"/>
    <sheet name="Tax" sheetId="7" state="visible" r:id="rId9"/>
    <sheet name="Tracker" sheetId="8" state="visible" r:id="rId10"/>
    <sheet name="Scoring" sheetId="9" state="visible" r:id="rId11"/>
    <sheet name="StrategyMatrix" sheetId="10" state="visible" r:id="rId12"/>
    <sheet name="Sources" sheetId="11" state="visible" r:id="rId13"/>
  </sheets>
  <definedNames>
    <definedName function="false" hidden="true" localSheetId="5" name="_xlnm._FilterDatabase" vbProcedure="false">HoldPeriod!$A$5:$T$81</definedName>
    <definedName function="false" hidden="true" localSheetId="3" name="_xlnm._FilterDatabase" vbProcedure="false">Models!$A$6:$AK$82</definedName>
    <definedName function="false" hidden="true" localSheetId="8" name="_xlnm._FilterDatabase" vbProcedure="false">Scoring!$A$8:$N$84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<sst xmlns="http://schemas.openxmlformats.org/spreadsheetml/2006/main" count="1995" uniqueCount="766">
  <si>
    <t xml:space="preserve">High-Mileage Vehicle Turnover Planner</t>
  </si>
  <si>
    <t xml:space="preserve">Built for a ~55,000 mi/yr driver in Hamilton County, Indiana</t>
  </si>
  <si>
    <t xml:space="preserve">HOW TO USE</t>
  </si>
  <si>
    <t xml:space="preserve">1. Start on Inputs</t>
  </si>
  <si>
    <t xml:space="preserve">Every assumption in this workbook lives there. Change a number and the whole model recalculates. Nothing downstream is hardcoded.</t>
  </si>
  <si>
    <t xml:space="preserve">2. Replace the purchase prices</t>
  </si>
  <si>
    <t xml:space="preserve">The prices on the Models tab are placeholder estimates, NOT quotes. Pull real local listings at your target odometer and overwrite them. This is the single biggest driver of the answer.</t>
  </si>
  <si>
    <t xml:space="preserve">3. Read Models</t>
  </si>
  <si>
    <t xml:space="preserve">Head-to-head cost per mile across 70+ candidates, decomposed into depreciation, fuel, tires, maintenance, repair reserve, insurance, taxes, and cost of capital. Filter row 6 by Tier, Category, Fuel, or GVWR. Tier 1 is green (buy with confidence), Tier 2 amber (one caveat to manage), Tier 3 red (poor 180k-mile bet). Column AE ranks every model by cost per mile.</t>
  </si>
  <si>
    <t xml:space="preserve">4. Read Strategies</t>
  </si>
  <si>
    <t xml:space="preserve">Compares buy-point / sell-point strategies (buy at 40k and sell at 150k vs. 180k, buy older, buy new, lease). Answers 'when do I turn over' rather than 'what do I buy'.</t>
  </si>
  <si>
    <t xml:space="preserve">5. Run Tax</t>
  </si>
  <si>
    <t xml:space="preserve">Five ownership structures side by side, including Section 179 / bonus depreciation with the recapture cost modeled. Set employment type on Inputs first — it changes everything.</t>
  </si>
  <si>
    <t xml:space="preserve">6. Log to Tracker</t>
  </si>
  <si>
    <t xml:space="preserve">Once a vehicle is in service, log every fuel stop, tire set, and repair. The summary block computes actual cost per mile so you can check the model against reality.</t>
  </si>
  <si>
    <t xml:space="preserve">COLOR LEGEND</t>
  </si>
  <si>
    <t xml:space="preserve">Blue text</t>
  </si>
  <si>
    <t xml:space="preserve">An input you can and should edit. Scenario levers and hardcoded assumptions.</t>
  </si>
  <si>
    <t xml:space="preserve">Black text</t>
  </si>
  <si>
    <t xml:space="preserve">A formula. Don't overwrite these — they'll stop recalculating.</t>
  </si>
  <si>
    <t xml:space="preserve">Green text</t>
  </si>
  <si>
    <t xml:space="preserve">A link pulling a value from another tab.</t>
  </si>
  <si>
    <t xml:space="preserve">Yellow fill</t>
  </si>
  <si>
    <t xml:space="preserve">A key assumption worth reviewing before you trust the output.</t>
  </si>
  <si>
    <t xml:space="preserve">READ THIS BEFORE TRUSTING THE TAX TAB</t>
  </si>
  <si>
    <t xml:space="preserve">• W-2 employees cannot deduct business mileage. The Tax Cuts and Jobs Act suspended unreimbursed employee business expenses, and the One Big Beautiful Bill Act (signed 7/4/2025) made that suspension permanent by amending IRC 67(g) to remove the sunset. IRS Publication 463 confirms it. If the driver is a W-2 employee, set Employment type to 'W-2' on Inputs and the model will correctly show a zero deduction benefit.</t>
  </si>
  <si>
    <t xml:space="preserve">• Only self-employment / Schedule C / business-entity miles produce a deduction. Set Employment type to 'Self-employed' only if that is actually the case.</t>
  </si>
  <si>
    <t xml:space="preserve">• Section 179 and bonus depreciation are a TIMING benefit at this turnover cadence, not a savings. Vehicles are Section 1245 property, so depreciation comes back as ORDINARY income on sale. Selling every ~30 months means recapture arrives fast. The Tax tab models this explicitly — look at the net, not the year-one deduction.</t>
  </si>
  <si>
    <t xml:space="preserve">• Claiming Section 179 or bonus on a vehicle permanently bars the standard mileage rate on that vehicle. There is no switching back.</t>
  </si>
  <si>
    <t xml:space="preserve">• None of this is tax advice. Confirm every figure with a CPA before filing. Indiana's treatment of business vehicle deductions may not track federal.</t>
  </si>
  <si>
    <t xml:space="preserve">MODEL LIMITATIONS</t>
  </si>
  <si>
    <t xml:space="preserve">• The depreciation curve comes from pooled asking-price cross-sections (~327,000 US listings), not the same VIN tracked over time. Different cars sit in each odometer band. Treat the coefficients as directional.</t>
  </si>
  <si>
    <t xml:space="preserve">• Purchase prices on the Models tab are estimates for illustration. Replace them with real listings.</t>
  </si>
  <si>
    <t xml:space="preserve">• Repair reserve rates are judgment calls calibrated to published major-repair incidence data. They are the softest numbers in the workbook — flex them on the Inputs tab to see how much the answer moves.</t>
  </si>
  <si>
    <t xml:space="preserve">• The finance cost uses an average-outstanding-balance approximation rather than a full amortization schedule. It is accurate to within a few hundred dollars over a 30-month cycle, not to the penny.</t>
  </si>
  <si>
    <t xml:space="preserve">• Insurance and Indiana excise figures are representative for Hamilton County, not a quote.</t>
  </si>
  <si>
    <t xml:space="preserve">Inputs and Assumptions</t>
  </si>
  <si>
    <t xml:space="preserve">Blue cells are yours to change. Everything else in the workbook reads from here.</t>
  </si>
  <si>
    <t xml:space="preserve">DRIVING PATTERN &amp; CYCLE</t>
  </si>
  <si>
    <t xml:space="preserve">Annual miles driven</t>
  </si>
  <si>
    <t xml:space="preserve">Stated: 50,000-60,000 per year. 55,000 is the midpoint.</t>
  </si>
  <si>
    <t xml:space="preserve">Buy odometer (miles)</t>
  </si>
  <si>
    <t xml:space="preserve">Odometer at purchase. The most important lever in the workbook.</t>
  </si>
  <si>
    <t xml:space="preserve">Sell odometer (miles)</t>
  </si>
  <si>
    <t xml:space="preserve">Odometer at disposal. Stated preference: 150,000-180,000.</t>
  </si>
  <si>
    <t xml:space="preserve">Miles per ownership cycle</t>
  </si>
  <si>
    <t xml:space="preserve">Years per cycle</t>
  </si>
  <si>
    <t xml:space="preserve">Months per cycle</t>
  </si>
  <si>
    <t xml:space="preserve">OPERATING COSTS</t>
  </si>
  <si>
    <t xml:space="preserve">Gasoline ($/gal)</t>
  </si>
  <si>
    <t xml:space="preserve">Indiana average, AAA, early Aug 2026. National avg was $4.06-4.11.</t>
  </si>
  <si>
    <t xml:space="preserve">Diesel ($/gal)</t>
  </si>
  <si>
    <t xml:space="preserve">Indiana average, AAA, early Aug 2026.</t>
  </si>
  <si>
    <t xml:space="preserve">Tire set - crossover ($ installed)</t>
  </si>
  <si>
    <t xml:space="preserve">Range $700-$1,200 installed for crossover/SUV sizes.</t>
  </si>
  <si>
    <t xml:space="preserve">Tire set - truck ($ installed)</t>
  </si>
  <si>
    <t xml:space="preserve">Range $900-$1,500 for half-ton LT tires.</t>
  </si>
  <si>
    <t xml:space="preserve">Tire life (miles per set)</t>
  </si>
  <si>
    <t xml:space="preserve">Consumer Reports treadwear testing: 70,000-100,000 for premium touring. Derated for load and highway speed.</t>
  </si>
  <si>
    <t xml:space="preserve">Scheduled maintenance ($/mile)</t>
  </si>
  <si>
    <t xml:space="preserve">Oil, brakes, plugs, fluids, transfer case. AAA's SUV line is $0.108-0.118/mi.</t>
  </si>
  <si>
    <t xml:space="preserve">Insurance ($/year)</t>
  </si>
  <si>
    <t xml:space="preserve">Indiana full coverage estimates range $1,009-$1,856 depending on source.</t>
  </si>
  <si>
    <t xml:space="preserve">Registration + excise + wheel tax ($/yr)</t>
  </si>
  <si>
    <t xml:space="preserve">Hamilton County: $21.35 BMV base + $15 wheel tax + excise surtax. Excise declines as the vehicle ages.</t>
  </si>
  <si>
    <t xml:space="preserve">REPAIR RESERVE (the softest numbers here)</t>
  </si>
  <si>
    <t xml:space="preserve">Under 100,000 miles ($/mile)</t>
  </si>
  <si>
    <t xml:space="preserve">Unscheduled repairs only. Scheduled work is on row 18.</t>
  </si>
  <si>
    <t xml:space="preserve">100,000-150,000 miles ($/mile)</t>
  </si>
  <si>
    <t xml:space="preserve">Failure incidence climbs sharply past 100k.</t>
  </si>
  <si>
    <t xml:space="preserve">Over 150,000 miles ($/mile)</t>
  </si>
  <si>
    <t xml:space="preserve">Roughly 2/3 of vehicles over 100k hit a major repair averaging $3,847/yr per CoverageX (a warranty seller - read as a ceiling).</t>
  </si>
  <si>
    <t xml:space="preserve">Cycle miles in the &lt;100k band</t>
  </si>
  <si>
    <t xml:space="preserve">Cycle miles in the 100k-150k band</t>
  </si>
  <si>
    <t xml:space="preserve">Cycle miles in the &gt;150k band</t>
  </si>
  <si>
    <t xml:space="preserve">Blended repair reserve ($/mile)</t>
  </si>
  <si>
    <t xml:space="preserve">Weighted by how many cycle miles fall in each band.</t>
  </si>
  <si>
    <t xml:space="preserve">CAPITAL &amp; FINANCING</t>
  </si>
  <si>
    <t xml:space="preserve">Financing mode</t>
  </si>
  <si>
    <t xml:space="preserve">Cash</t>
  </si>
  <si>
    <t xml:space="preserve">Pick one. Both are computed on the Models tab; this selects which flows into the total.</t>
  </si>
  <si>
    <t xml:space="preserve">Cash opportunity cost rate</t>
  </si>
  <si>
    <t xml:space="preserve">Return foregone on capital tied up in the vehicle.</t>
  </si>
  <si>
    <t xml:space="preserve">Loan APR</t>
  </si>
  <si>
    <t xml:space="preserve">Used-vehicle rate. Adjust to a real quote.</t>
  </si>
  <si>
    <t xml:space="preserve">Down payment %</t>
  </si>
  <si>
    <t xml:space="preserve">Average outstanding balance factor</t>
  </si>
  <si>
    <t xml:space="preserve">Approximation. A loan held about half its term averages ~55% of principal outstanding. Avoids a full amortization schedule.</t>
  </si>
  <si>
    <t xml:space="preserve">TAX</t>
  </si>
  <si>
    <t xml:space="preserve">Employment type</t>
  </si>
  <si>
    <t xml:space="preserve">Self-employed</t>
  </si>
  <si>
    <t xml:space="preserve">W-2 employees get NO mileage deduction post-OBBBA (IRC 67(g), IRS Pub 463). Set this honestly - it zeroes out the tax benefit.</t>
  </si>
  <si>
    <t xml:space="preserve">Business use %</t>
  </si>
  <si>
    <t xml:space="preserve">Must exceed 50% to claim Section 179 or bonus. Requires a contemporaneous mileage log.</t>
  </si>
  <si>
    <t xml:space="preserve">IRS standard mileage rate ($/mi)</t>
  </si>
  <si>
    <t xml:space="preserve">2026: 72.5c Jan-Jun (Notice 2026-10), raised to 76c Jul-Dec (Announcement 2026-11). 74c is the blended rate.</t>
  </si>
  <si>
    <t xml:space="preserve">Marginal federal income tax rate</t>
  </si>
  <si>
    <t xml:space="preserve">Self-employment tax effective rate</t>
  </si>
  <si>
    <t xml:space="preserve">15.3% on 92.35% of net SE income, before the employer-half deduction.</t>
  </si>
  <si>
    <t xml:space="preserve">Indiana state income tax rate</t>
  </si>
  <si>
    <t xml:space="preserve">Combined deduction benefit rate</t>
  </si>
  <si>
    <t xml:space="preserve">Zero for W-2 because the deduction does not exist. This is the whole ballgame.</t>
  </si>
  <si>
    <t xml:space="preserve">Indiana sales tax on purchase</t>
  </si>
  <si>
    <t xml:space="preserve">One-time, at purchase.</t>
  </si>
  <si>
    <t xml:space="preserve">SECTION 179 / BONUS DEPRECIATION (2026)</t>
  </si>
  <si>
    <t xml:space="preserve">Bonus depreciation %</t>
  </si>
  <si>
    <t xml:space="preserve">OBBBA sec. 70301 restored 100% permanently for property acquired and placed in service after 1/19/2025. Transition rules in Notice 2026-11.</t>
  </si>
  <si>
    <t xml:space="preserve">Section 179 cap - heavy SUV (6,001-14,000 lb)</t>
  </si>
  <si>
    <t xml:space="preserve">2026 limit. Bonus has no such cap, so bonus is the mechanism above 6,000 lb GVWR.</t>
  </si>
  <si>
    <t xml:space="preserve">Sec. 280F first-year cap - light vehicle w/ bonus</t>
  </si>
  <si>
    <t xml:space="preserve">Rev. Proc. 2026-15. $12,300 without bonus. Applies at or below 6,000 lb GVWR.</t>
  </si>
  <si>
    <t xml:space="preserve">MODEL COMPARISON BASELINE</t>
  </si>
  <si>
    <t xml:space="preserve">Industry average 5-yr depreciation</t>
  </si>
  <si>
    <t xml:space="preserve">iSeeCars 2026 study (950,000+ five-year-old vehicles, Mar 2025-Feb 2026). Baseline for each model's resale strength multiplier on the Models tab.</t>
  </si>
  <si>
    <t xml:space="preserve">Depreciation Engine</t>
  </si>
  <si>
    <t xml:space="preserve">Value retention as a function of odometer, converted to an index so it scales to any purchase price.</t>
  </si>
  <si>
    <t xml:space="preserve">Odometer</t>
  </si>
  <si>
    <t xml:space="preserve">Median listing price</t>
  </si>
  <si>
    <t xml:space="preserve">Retention index</t>
  </si>
  <si>
    <t xml:space="preserve">$ lost per 1,000 mi in band</t>
  </si>
  <si>
    <t xml:space="preserve">Source: pooled analysis of ~327,000 US used listings (ForCar, Aug 2026). The $0 / $35,000 anchor is extrapolated to give the index a clean base. Asking-price cross-sections, not tracked VINs.</t>
  </si>
  <si>
    <t xml:space="preserve">APPLIED TO YOUR CYCLE</t>
  </si>
  <si>
    <t xml:space="preserve">Buy odometer</t>
  </si>
  <si>
    <t xml:space="preserve">Pulled from Inputs.</t>
  </si>
  <si>
    <t xml:space="preserve">Sell odometer</t>
  </si>
  <si>
    <t xml:space="preserve">Retention index at buy</t>
  </si>
  <si>
    <t xml:space="preserve">Interpolated between the anchors above.</t>
  </si>
  <si>
    <t xml:space="preserve">Retention index at sell</t>
  </si>
  <si>
    <t xml:space="preserve">Retention ratio (sell / buy)</t>
  </si>
  <si>
    <t xml:space="preserve">The fraction of the purchase price a market-average vehicle retains across your cycle. The Models tab multiplies this by a per-model resale strength factor.</t>
  </si>
  <si>
    <t xml:space="preserve">SCRATCH CALCULATOR</t>
  </si>
  <si>
    <t xml:space="preserve">Any odometer</t>
  </si>
  <si>
    <t xml:space="preserve">Retention index there</t>
  </si>
  <si>
    <t xml:space="preserve">Est. value of a $35,000-when-new vehicle</t>
  </si>
  <si>
    <t xml:space="preserve">HOLD-PERIOD LOOKUP</t>
  </si>
  <si>
    <t xml:space="preserve">Hold period</t>
  </si>
  <si>
    <t xml:space="preserve">Retention ratio vs buy</t>
  </si>
  <si>
    <t xml:space="preserve">1 year</t>
  </si>
  <si>
    <t xml:space="preserve">2 years</t>
  </si>
  <si>
    <t xml:space="preserve">2.5 years</t>
  </si>
  <si>
    <t xml:space="preserve">3 years</t>
  </si>
  <si>
    <t xml:space="preserve">4 years</t>
  </si>
  <si>
    <t xml:space="preserve">Ratio = what fraction of the purchase price a market-average vehicle retains over that hold. The Models and HoldPeriod tabs multiply this by each model's resale-strength factor.</t>
  </si>
  <si>
    <t xml:space="preserve">Model Comparison — Cost Per Mile</t>
  </si>
  <si>
    <t xml:space="preserve">Purchase prices in column G are PLACEHOLDER ESTIMATES, not quotes. Replace them with real local listings at your buy odometer before deciding anything.</t>
  </si>
  <si>
    <t xml:space="preserve">Use the filter arrows on row 6 to narrow by category, tier, fuel, or GVWR eligibility. Column AE ranks every model by total cost per mile (1 = cheapest).</t>
  </si>
  <si>
    <t xml:space="preserve">Model</t>
  </si>
  <si>
    <t xml:space="preserve">Category</t>
  </si>
  <si>
    <t xml:space="preserve">Tier</t>
  </si>
  <si>
    <t xml:space="preserve">5-yr deprec.</t>
  </si>
  <si>
    <t xml:space="preserve">Deprec. source</t>
  </si>
  <si>
    <t xml:space="preserve">Resale mult.</t>
  </si>
  <si>
    <t xml:space="preserve">Purchase price</t>
  </si>
  <si>
    <t xml:space="preserve">Hwy MPG</t>
  </si>
  <si>
    <t xml:space="preserve">Fuel</t>
  </si>
  <si>
    <t xml:space="preserve">Tire class</t>
  </si>
  <si>
    <t xml:space="preserve">&gt;6,000 lb GVWR</t>
  </si>
  <si>
    <t xml:space="preserve">250k odds</t>
  </si>
  <si>
    <t xml:space="preserve">Odds study yr</t>
  </si>
  <si>
    <t xml:space="preserve">Known risk / red flag</t>
  </si>
  <si>
    <t xml:space="preserve">Est. resale</t>
  </si>
  <si>
    <t xml:space="preserve">Deprec. $</t>
  </si>
  <si>
    <t xml:space="preserve">Deprec. $/mi</t>
  </si>
  <si>
    <t xml:space="preserve">Fuel $/mi</t>
  </si>
  <si>
    <t xml:space="preserve">Tires $/mi</t>
  </si>
  <si>
    <t xml:space="preserve">Sched. maint $/mi</t>
  </si>
  <si>
    <t xml:space="preserve">Repair res. $/mi</t>
  </si>
  <si>
    <t xml:space="preserve">Insurance $/mi</t>
  </si>
  <si>
    <t xml:space="preserve">Reg/tax $/mi</t>
  </si>
  <si>
    <t xml:space="preserve">Sales tax $/mi</t>
  </si>
  <si>
    <t xml:space="preserve">Capital $/mi (cash)</t>
  </si>
  <si>
    <t xml:space="preserve">Capital $/mi (finance)</t>
  </si>
  <si>
    <t xml:space="preserve">Capital $/mi (selected)</t>
  </si>
  <si>
    <t xml:space="preserve">TOTAL $/mi</t>
  </si>
  <si>
    <t xml:space="preserve">Cost per cycle</t>
  </si>
  <si>
    <t xml:space="preserve">Cost per year</t>
  </si>
  <si>
    <t xml:space="preserve">Rank</t>
  </si>
  <si>
    <t xml:space="preserve">Reliability score</t>
  </si>
  <si>
    <t xml:space="preserve">Comfort score</t>
  </si>
  <si>
    <t xml:space="preserve">Cabin dB @55mph</t>
  </si>
  <si>
    <t xml:space="preserve">dB source</t>
  </si>
  <si>
    <t xml:space="preserve">Resale @ 2 yr</t>
  </si>
  <si>
    <t xml:space="preserve">Deprec. $/mi @ 2 yr</t>
  </si>
  <si>
    <t xml:space="preserve">Chevrolet Tahoe</t>
  </si>
  <si>
    <t xml:space="preserve">Full-size BOF SUV</t>
  </si>
  <si>
    <t xml:space="preserve">Tier 1</t>
  </si>
  <si>
    <t xml:space="preserve">iSeeCars 2026</t>
  </si>
  <si>
    <t xml:space="preserve">Gas</t>
  </si>
  <si>
    <t xml:space="preserve">Truck</t>
  </si>
  <si>
    <t xml:space="preserve">Yes</t>
  </si>
  <si>
    <t xml:space="preserve">7.7%</t>
  </si>
  <si>
    <t xml:space="preserve">2025 (base 4.8%)</t>
  </si>
  <si>
    <t xml:space="preserve">5.3L AFM lifter/cam failure; 10L80 valve body. GM 10-spd more reliable than Ford's.</t>
  </si>
  <si>
    <t xml:space="preserve">measured</t>
  </si>
  <si>
    <t xml:space="preserve">Chevrolet Tahoe 3.0L Duramax</t>
  </si>
  <si>
    <t xml:space="preserve">Diesel</t>
  </si>
  <si>
    <t xml:space="preserve">CAUTION: at Indiana prices ($5.35 diesel vs $3.55 gas) the diesel costs MORE per mile to fuel than the gas V8 despite 27 vs 19.5 mpg. Only wins if the diesel premium narrows below ~$1.15/gal.</t>
  </si>
  <si>
    <t xml:space="preserve">Chevrolet Suburban</t>
  </si>
  <si>
    <t xml:space="preserve">iSeeCars 2025</t>
  </si>
  <si>
    <t xml:space="preserve">11.8%</t>
  </si>
  <si>
    <t xml:space="preserve">Same 5.3L AFM lifter risk as Tahoe.</t>
  </si>
  <si>
    <t xml:space="preserve">GMC Yukon</t>
  </si>
  <si>
    <t xml:space="preserve">7.8%</t>
  </si>
  <si>
    <t xml:space="preserve">Same AFM lifter risk. GMC badge premium over Tahoe.</t>
  </si>
  <si>
    <t xml:space="preserve">GMC Yukon XL</t>
  </si>
  <si>
    <t xml:space="preserve">9.0%</t>
  </si>
  <si>
    <t xml:space="preserve">Same AFM lifter risk.</t>
  </si>
  <si>
    <t xml:space="preserve">Ford Expedition</t>
  </si>
  <si>
    <t xml:space="preserve">Tier 2</t>
  </si>
  <si>
    <t xml:space="preserve">19.9%</t>
  </si>
  <si>
    <t xml:space="preserve">2023 (base 11.8%)</t>
  </si>
  <si>
    <t xml:space="preserve">Gen2 3.5 EcoBoost cam-phaser rattle 2018+ ($3.5k-$5.5k) AND 10R80 10-speed. Two known risks stacked.</t>
  </si>
  <si>
    <t xml:space="preserve">Toyota Sequoia (pre-2023 5.7 V8)</t>
  </si>
  <si>
    <t xml:space="preserve">segment est.</t>
  </si>
  <si>
    <t xml:space="preserve">39.1%</t>
  </si>
  <si>
    <t xml:space="preserve">#1 longest-lasting vehicle in the 2025 study, 8x the industry average. Worst fuel economy here.</t>
  </si>
  <si>
    <t xml:space="preserve">Nissan Armada</t>
  </si>
  <si>
    <t xml:space="preserve">5.8%</t>
  </si>
  <si>
    <t xml:space="preserve">5.6L V8 + 7-spd conventional, NOT a CVT. Durable but weak resale - that's the cheap-buy opening.</t>
  </si>
  <si>
    <t xml:space="preserve">Cadillac Escalade</t>
  </si>
  <si>
    <t xml:space="preserve">Tier 3</t>
  </si>
  <si>
    <t xml:space="preserve">6.8%</t>
  </si>
  <si>
    <t xml:space="preserve">2025 ESV (base 4.8%)</t>
  </si>
  <si>
    <t xml:space="preserve">Luxury depreciation plus air suspension and electronics. Wrong tool at this mileage.</t>
  </si>
  <si>
    <t xml:space="preserve">Jeep Grand Wagoneer</t>
  </si>
  <si>
    <t xml:space="preserve">estimate</t>
  </si>
  <si>
    <t xml:space="preserve">n/a</t>
  </si>
  <si>
    <t xml:space="preserve">not available</t>
  </si>
  <si>
    <t xml:space="preserve">New platform, thin high-mileage data, luxury electronics risk.</t>
  </si>
  <si>
    <t xml:space="preserve">Jeep Grand Cherokee</t>
  </si>
  <si>
    <t xml:space="preserve">Mid-size SUV</t>
  </si>
  <si>
    <t xml:space="preserve">2025 segment</t>
  </si>
  <si>
    <t xml:space="preserve">Crossover</t>
  </si>
  <si>
    <t xml:space="preserve">ZF 8HP is strong BUT flush it at 60k - Jeep calls it lifetime fill. 2021+ WL 850RE early clutch faults.</t>
  </si>
  <si>
    <t xml:space="preserve">estimated</t>
  </si>
  <si>
    <t xml:space="preserve">Jeep Grand Cherokee L</t>
  </si>
  <si>
    <t xml:space="preserve">3-row crossover</t>
  </si>
  <si>
    <t xml:space="preserve">Same ZF 8HP / 850RE concerns as Grand Cherokee.</t>
  </si>
  <si>
    <t xml:space="preserve">Jeep Cherokee</t>
  </si>
  <si>
    <t xml:space="preserve">Compact crossover</t>
  </si>
  <si>
    <t xml:space="preserve">No</t>
  </si>
  <si>
    <t xml:space="preserve">ZF 9HP 9-speed: 7,000+ complaints on 2014-15 alone, 82k-unit recall. Bad 180k bet.</t>
  </si>
  <si>
    <t xml:space="preserve">Jeep Compass</t>
  </si>
  <si>
    <t xml:space="preserve">Same ZF 9-speed through 2022. Underpowered 2.4L Tigershark.</t>
  </si>
  <si>
    <t xml:space="preserve">Jeep Gladiator</t>
  </si>
  <si>
    <t xml:space="preserve">Midsize truck</t>
  </si>
  <si>
    <t xml:space="preserve">3.6L Pentastar solid, solid axles durable. Death-wobble reports.</t>
  </si>
  <si>
    <t xml:space="preserve">Jeep Wrangler</t>
  </si>
  <si>
    <t xml:space="preserve">Midsize SUV</t>
  </si>
  <si>
    <t xml:space="preserve">Yes (4-door)</t>
  </si>
  <si>
    <t xml:space="preserve">4.5%</t>
  </si>
  <si>
    <t xml:space="preserve">2025 Unltd (base 4.8%)</t>
  </si>
  <si>
    <t xml:space="preserve">Elite resale on demand, not reliability. Death wobble, oil leaks.</t>
  </si>
  <si>
    <t xml:space="preserve">Jeep Wrangler 4xe</t>
  </si>
  <si>
    <t xml:space="preserve">Midsize SUV (PHEV)</t>
  </si>
  <si>
    <t xml:space="preserve">Plug-in hybrid</t>
  </si>
  <si>
    <t xml:space="preserve">Turbo 2.0L + PHEV electronics, unproven at 180k. Early build issues.</t>
  </si>
  <si>
    <t xml:space="preserve">Ford Explorer</t>
  </si>
  <si>
    <t xml:space="preserve">10R80 10-speed rebuild $3,800-$5,200. 2.3L rear-main-seal warped retainer plate.</t>
  </si>
  <si>
    <t xml:space="preserve">Chevrolet Traverse</t>
  </si>
  <si>
    <t xml:space="preserve">Verify</t>
  </si>
  <si>
    <t xml:space="preserve">3.6L V6 timing-chain stretch $2,000-$3,500; water pump $1,080-$1,668. 2024+ 2.5T unproven.</t>
  </si>
  <si>
    <t xml:space="preserve">GMC Acadia</t>
  </si>
  <si>
    <t xml:space="preserve">Same GM 3.6L timing chain ($2,786-$3,639 RepairPal); water pump $1,101-$1,530.</t>
  </si>
  <si>
    <t xml:space="preserve">Honda Passport</t>
  </si>
  <si>
    <t xml:space="preserve">Mid-size crossover</t>
  </si>
  <si>
    <t xml:space="preserve">3.5L NA V6 robust. 9-speed ZF shift quality is the only soft spot.</t>
  </si>
  <si>
    <t xml:space="preserve">Toyota Grand Highlander Hybrid</t>
  </si>
  <si>
    <t xml:space="preserve">Hybrid</t>
  </si>
  <si>
    <t xml:space="preserve">Regular hybrid (2.5L + eCVT) is the proven pick. Avoid the 2.4T Hybrid Max until data exists.</t>
  </si>
  <si>
    <t xml:space="preserve">Toyota Highlander (gas)</t>
  </si>
  <si>
    <t xml:space="preserve">12.7%</t>
  </si>
  <si>
    <t xml:space="preserve">Pre-2023 3.5L V6 bulletproof. 2023+ 2.4T turbo is new - prefer the older V6.</t>
  </si>
  <si>
    <t xml:space="preserve">Toyota Highlander Hybrid</t>
  </si>
  <si>
    <t xml:space="preserve">31.0%</t>
  </si>
  <si>
    <t xml:space="preserve">#3 overall and top hybrid for longevity. eCVT is a planetary power-split, not a belt CVT.</t>
  </si>
  <si>
    <t xml:space="preserve">Kia Telluride</t>
  </si>
  <si>
    <t xml:space="preserve">No (5,776-5,917)</t>
  </si>
  <si>
    <t xml:space="preserve">3.8L Lambda GDI oil consumption from 60-75k. 2024 valve-spring recall. NOT Sec. 179 eligible.</t>
  </si>
  <si>
    <t xml:space="preserve">Hyundai Palisade</t>
  </si>
  <si>
    <t xml:space="preserve">No (5,700-5,900)</t>
  </si>
  <si>
    <t xml:space="preserve">Same 3.8L oil consumption. Complaint rate 31.7/10k vs Telluride's 23.3. NOT Sec. 179 eligible.</t>
  </si>
  <si>
    <t xml:space="preserve">Mazda CX-9</t>
  </si>
  <si>
    <t xml:space="preserve">2.5T + 6-speed CONVENTIONAL auto. No CVT. Discontinued after 2023.</t>
  </si>
  <si>
    <t xml:space="preserve">Mazda CX-90</t>
  </si>
  <si>
    <t xml:space="preserve">New 3.3T inline-6 + 8-speed. Early transmission complaints. Too new.</t>
  </si>
  <si>
    <t xml:space="preserve">Subaru Ascent</t>
  </si>
  <si>
    <t xml:space="preserve">CVT. Acceptable ONLY with documented fluid changes every 30-60k. 2.4T turbo adds risk.</t>
  </si>
  <si>
    <t xml:space="preserve">Nissan Pathfinder (2022+)</t>
  </si>
  <si>
    <t xml:space="preserve">2022+ dropped the CVT for a conventional 9-speed. AVOID 2013-2020 (Jatco CVT).</t>
  </si>
  <si>
    <t xml:space="preserve">Volkswagen Atlas</t>
  </si>
  <si>
    <t xml:space="preserve">8-speed conventional is fine. VR6 timing chain; 2.0T carbon buildup and water pump.</t>
  </si>
  <si>
    <t xml:space="preserve">Dodge Durango</t>
  </si>
  <si>
    <t xml:space="preserve">3.6L V6 + ZF 8HP durable. V8 carries Hemi lifter/cam tick risk.</t>
  </si>
  <si>
    <t xml:space="preserve">Subaru Outback</t>
  </si>
  <si>
    <t xml:space="preserve">22.3%</t>
  </si>
  <si>
    <t xml:space="preserve">CVT secondary pulley bearing noise past 100k. Change fluid 30-60k.</t>
  </si>
  <si>
    <t xml:space="preserve">Subaru Forester</t>
  </si>
  <si>
    <t xml:space="preserve">CVT. NA boxer (no turbo post-2018) is a plus. 2014-2018 FB25 oil consumption.</t>
  </si>
  <si>
    <t xml:space="preserve">Mazda CX-5</t>
  </si>
  <si>
    <t xml:space="preserve">2.5L NA + 6-speed conventional. No CVT, no turbo on base. RepairPal #1 midsize, $447/yr.</t>
  </si>
  <si>
    <t xml:space="preserve">Nissan Rogue</t>
  </si>
  <si>
    <t xml:space="preserve">Jatco CVT. $277.7M class settlement (Stringer v. Nissan). Avoid 2013-2018 entirely.</t>
  </si>
  <si>
    <t xml:space="preserve">Hyundai Tucson</t>
  </si>
  <si>
    <t xml:space="preserve">2.5L NA + conventional 8-speed. Older Theta II GDI oil/knock issues.</t>
  </si>
  <si>
    <t xml:space="preserve">Hyundai Santa Fe</t>
  </si>
  <si>
    <t xml:space="preserve">2.5T uses a wet DCT - clutch wear is the risk. Older 2.4 Theta oil consumption.</t>
  </si>
  <si>
    <t xml:space="preserve">Kia Sportage</t>
  </si>
  <si>
    <t xml:space="preserve">2.5L NA + 8-speed. Theta II issues on older units.</t>
  </si>
  <si>
    <t xml:space="preserve">Kia Sorento</t>
  </si>
  <si>
    <t xml:space="preserve">2.5T + 8-speed DCT. Older 3.3 V6 was more robust.</t>
  </si>
  <si>
    <t xml:space="preserve">Ford Edge</t>
  </si>
  <si>
    <t xml:space="preserve">2.0T water pump coolant intrusion is the known killer. Discontinued 2024.</t>
  </si>
  <si>
    <t xml:space="preserve">Chevrolet Equinox</t>
  </si>
  <si>
    <t xml:space="preserve">1.5L turbo under sustained load; carbon buildup, timing chain.</t>
  </si>
  <si>
    <t xml:space="preserve">Toyota Venza</t>
  </si>
  <si>
    <t xml:space="preserve">RAV4 Hybrid mechanicals, eCVT. Discontinued 2024. Best MPG on this list.</t>
  </si>
  <si>
    <t xml:space="preserve">Honda HR-V</t>
  </si>
  <si>
    <t xml:space="preserve">Subcompact crossover</t>
  </si>
  <si>
    <t xml:space="preserve">Honda CVT - better record than Nissan's but still a CVT. Underpowered for highway work.</t>
  </si>
  <si>
    <t xml:space="preserve">Lexus RX 350</t>
  </si>
  <si>
    <t xml:space="preserve">Luxury mid crossover</t>
  </si>
  <si>
    <t xml:space="preserve">10.7%</t>
  </si>
  <si>
    <t xml:space="preserve">Pre-2023 3.5L V6 is bulletproof. 2023+ 2.4T turbo is unproven.</t>
  </si>
  <si>
    <t xml:space="preserve">Lexus RX Hybrid</t>
  </si>
  <si>
    <t xml:space="preserve">17.0%</t>
  </si>
  <si>
    <t xml:space="preserve">#2 longest-lasting hybrid in the 2025 study. Toyota HSD.</t>
  </si>
  <si>
    <t xml:space="preserve">Lexus NX Hybrid</t>
  </si>
  <si>
    <t xml:space="preserve">Toyota HSD in a smaller package.</t>
  </si>
  <si>
    <t xml:space="preserve">Toyota RAV4 Hybrid</t>
  </si>
  <si>
    <t xml:space="preserve">Fewest major issues of anything here. eCVT.</t>
  </si>
  <si>
    <t xml:space="preserve">Toyota RAV4 (gas)</t>
  </si>
  <si>
    <t xml:space="preserve">18%</t>
  </si>
  <si>
    <t xml:space="preserve">NA four + conventional 8-speed. Very durable.</t>
  </si>
  <si>
    <t xml:space="preserve">Honda CR-V</t>
  </si>
  <si>
    <t xml:space="preserve">27.5%</t>
  </si>
  <si>
    <t xml:space="preserve">Avoid the 1.5T in 2017-2019 (oil dilution). NA engine is the safer buy.</t>
  </si>
  <si>
    <t xml:space="preserve">Honda CR-V Hybrid</t>
  </si>
  <si>
    <t xml:space="preserve">Two-motor hybrid, no conventional transmission to fail.</t>
  </si>
  <si>
    <t xml:space="preserve">Honda Pilot</t>
  </si>
  <si>
    <t xml:space="preserve">42.7%</t>
  </si>
  <si>
    <t xml:space="preserve">J35 V6 strong. 4WD ~6,096 lb is over the line; some 2WD/Elite ~5,952 under. Check the sticker.</t>
  </si>
  <si>
    <t xml:space="preserve">Ford Escape Hybrid</t>
  </si>
  <si>
    <t xml:space="preserve">Shares the Maverick Hybrid powertrain. Steep depreciation is the tradeoff.</t>
  </si>
  <si>
    <t xml:space="preserve">Hyundai Santa Fe Hybrid</t>
  </si>
  <si>
    <t xml:space="preserve">1.6T hybrid + 6-speed AUTOMATIC (not CVT, not DCT). That's a durability plus.</t>
  </si>
  <si>
    <t xml:space="preserve">Kia Sorento Hybrid</t>
  </si>
  <si>
    <t xml:space="preserve">1.6T hybrid + 6-speed automatic.</t>
  </si>
  <si>
    <t xml:space="preserve">Toyota Sienna Hybrid</t>
  </si>
  <si>
    <t xml:space="preserve">Minivan</t>
  </si>
  <si>
    <t xml:space="preserve">23.3%</t>
  </si>
  <si>
    <t xml:space="preserve">Hybrid-only since 2021. Genuinely one of the best high-mileage vehicles made.</t>
  </si>
  <si>
    <t xml:space="preserve">Toyota Crown Signia</t>
  </si>
  <si>
    <t xml:space="preserve">Launched MY2025 - too new for field data, but shares proven RX350h/Highlander Hybrid internals.</t>
  </si>
  <si>
    <t xml:space="preserve">Toyota Tacoma (pre-2024 V6)</t>
  </si>
  <si>
    <t xml:space="preserve">Some configs</t>
  </si>
  <si>
    <t xml:space="preserve">41.7%</t>
  </si>
  <si>
    <t xml:space="preserve">Third-lowest depreciation of any vehicle. NA V6 - avoid the 2024+ turbo four until data exists.</t>
  </si>
  <si>
    <t xml:space="preserve">Toyota Tacoma Hybrid (i-Force Max)</t>
  </si>
  <si>
    <t xml:space="preserve">2024+ turbo-4 hybrid. No 150k+ field data. Wait or buy in warranty.</t>
  </si>
  <si>
    <t xml:space="preserve">Toyota 4Runner</t>
  </si>
  <si>
    <t xml:space="preserve">Body-on-frame SUV</t>
  </si>
  <si>
    <t xml:space="preserve">Yes (some)</t>
  </si>
  <si>
    <t xml:space="preserve">32.9%</t>
  </si>
  <si>
    <t xml:space="preserve">4.0L V6 + 5-speed auto will outlive you. Thirsty.</t>
  </si>
  <si>
    <t xml:space="preserve">Toyota Tundra (2007-2021 5.7 V8)</t>
  </si>
  <si>
    <t xml:space="preserve">Full-size truck</t>
  </si>
  <si>
    <t xml:space="preserve">30.0%</t>
  </si>
  <si>
    <t xml:space="preserve">The 5.7L V8 years are the sweet spot. 2022+ twin-turbo V6 is unproven.</t>
  </si>
  <si>
    <t xml:space="preserve">Chevrolet Silverado 1500</t>
  </si>
  <si>
    <t xml:space="preserve">5.3L V8 proven. Parts everywhere, any Indy shop can service it. Watch AFM lifters.</t>
  </si>
  <si>
    <t xml:space="preserve">GMC Sierra 1500</t>
  </si>
  <si>
    <t xml:space="preserve">18.3%</t>
  </si>
  <si>
    <t xml:space="preserve">Same truck as Silverado, same math, small badge premium.</t>
  </si>
  <si>
    <t xml:space="preserve">Ford F-150</t>
  </si>
  <si>
    <t xml:space="preserve">19.2%</t>
  </si>
  <si>
    <t xml:space="preserve">5.0 V8 over the 3.5 EcoBoost. 10R80 10-speed is the known weak point.</t>
  </si>
  <si>
    <t xml:space="preserve">Ford F-150 Hybrid (PowerBoost)</t>
  </si>
  <si>
    <t xml:space="preserve">Twin-turbo V6 hybrid + 10R80. Two risk factors stacked, but real MPG gain.</t>
  </si>
  <si>
    <t xml:space="preserve">Ram 1500</t>
  </si>
  <si>
    <t xml:space="preserve">3.5%</t>
  </si>
  <si>
    <t xml:space="preserve">ZF 8HP transmission is excellent. 5.7 Hemi MDS lifter/cam tick is the risk - avoid heavy-idle units.</t>
  </si>
  <si>
    <t xml:space="preserve">Ford Ranger</t>
  </si>
  <si>
    <t xml:space="preserve">14.1%</t>
  </si>
  <si>
    <t xml:space="preserve">2.3L turbo AND the 10R80. Both risk factors present.</t>
  </si>
  <si>
    <t xml:space="preserve">Chevrolet Colorado</t>
  </si>
  <si>
    <t xml:space="preserve">7.0%</t>
  </si>
  <si>
    <t xml:space="preserve">Pre-2023 3.6L V6 is the durable pick. 2023+ is 2.7T turbo only.</t>
  </si>
  <si>
    <t xml:space="preserve">GMC Canyon</t>
  </si>
  <si>
    <t xml:space="preserve">8.4%</t>
  </si>
  <si>
    <t xml:space="preserve">Same as Colorado.</t>
  </si>
  <si>
    <t xml:space="preserve">Nissan Frontier (2022+)</t>
  </si>
  <si>
    <t xml:space="preserve">5.0%</t>
  </si>
  <si>
    <t xml:space="preserve">3.8L NA V6 + 9-speed CONVENTIONAL auto. No CVT anywhere in this truck.</t>
  </si>
  <si>
    <t xml:space="preserve">Nissan Titan</t>
  </si>
  <si>
    <t xml:space="preserve">9.9%</t>
  </si>
  <si>
    <t xml:space="preserve">5.6L Endurance V8 + 7-speed, solid. Discontinued after 2024. Weak resale.</t>
  </si>
  <si>
    <t xml:space="preserve">Honda Ridgeline</t>
  </si>
  <si>
    <t xml:space="preserve">Yes (~6,000)</t>
  </si>
  <si>
    <t xml:space="preserve">14.7%</t>
  </si>
  <si>
    <t xml:space="preserve">Best longevity odds of any non-HD pickup. 3.5L NA V6 bulletproof. Unibody - no serious towing.</t>
  </si>
  <si>
    <t xml:space="preserve">Ford Maverick Hybrid</t>
  </si>
  <si>
    <t xml:space="preserve">Compact truck</t>
  </si>
  <si>
    <t xml:space="preserve">No (~5,000)</t>
  </si>
  <si>
    <t xml:space="preserve">30 mpg in Car and Driver's 75-mph test. eCVT. Cheapest cost per mile of any truck here.</t>
  </si>
  <si>
    <t xml:space="preserve">Ford Maverick (2.0T)</t>
  </si>
  <si>
    <t xml:space="preserve">2.0T + 8-speed. Take the hybrid instead at this mileage.</t>
  </si>
  <si>
    <t xml:space="preserve">Ford F-250 (HD)</t>
  </si>
  <si>
    <t xml:space="preserve">Heavy-duty truck</t>
  </si>
  <si>
    <t xml:space="preserve">Yes (10,000)</t>
  </si>
  <si>
    <t xml:space="preserve">18.6%</t>
  </si>
  <si>
    <t xml:space="preserve">6.7 Power Stroke CP4 pump and EGR risk on diesel; 10R140. Only if you need HD capability.</t>
  </si>
  <si>
    <t xml:space="preserve">Ram 2500 (Cummins)</t>
  </si>
  <si>
    <t xml:space="preserve">17.3%</t>
  </si>
  <si>
    <t xml:space="preserve">Cummins I6 durability is legendary. CP4 pump risk on 2019+. Diesel fuel cost is the drag.</t>
  </si>
  <si>
    <t xml:space="preserve">TIER KEY</t>
  </si>
  <si>
    <t xml:space="preserve">Proven high-mileage durability, no transmission red flag. Buy with confidence.</t>
  </si>
  <si>
    <t xml:space="preserve">Viable with a caveat — one component to watch, a fuel-cost drag, or a service requirement you must document.</t>
  </si>
  <si>
    <t xml:space="preserve">Poor 180,000-mile bet. Documented transmission or turbo weakness, or fuel/luxury costs that dominate. Avoid or research hard.</t>
  </si>
  <si>
    <t xml:space="preserve">• DEPRECIATION FIGURES MIX STUDY YEARS AND ARE NOT DIRECTLY COMPARABLE. The iSeeCars industry baseline moved: 38.8% (2023), 45.6% (2025), 41.8% (2026). Column E names the source for every row. A 2025-study figure sits against a 45.6% baseline; a 2026-study figure against 41.8%. Rows marked '2025 segment' or 'estimate' had no individual breakout — treat those resale multipliers as weak.</t>
  </si>
  <si>
    <t xml:space="preserve">• 250,000-MILE ODDS ARE ALSO NOT COMPARABLE ACROSS YEARS. The baseline collapsed from 11.8% (2023) to 8.6% (2024) to 4.8% (2025). Column M gives the study year and that year's baseline so you can read each figure against the right denominator. Rankings hold across years even though absolute percentages do not.</t>
  </si>
  <si>
    <t xml:space="preserve">• CVT WARNING. Nissan Rogue (2014-2018), Pathfinder (2013-2020), and Murano use the Jatco CVT that produced a $277.7 million class settlement (Stringer v. Nissan) with powertrain warranty extended to 84 months / 84,000 miles. Subaru and Honda CVTs have better records but still need fluid every 30-60k. Toyota, Lexus, and Ford hybrid 'eCVT' units are planetary power-split devices, NOT belt CVTs — they are among the most durable transmissions on the road. Do not confuse the two.</t>
  </si>
  <si>
    <t xml:space="preserve">• OTHER TRANSMISSION RED FLAGS. ZF 9HP (Jeep Cherokee, Compass, Renegade): 7,000+ complaints on 2014-15 Cherokees alone, 82,000-unit recall. Ford 10R80 10-speed (Explorer, Ranger, F-150, Expedition): rebuild $3,800-$5,200. GM's 10L80 has a notably better record than Ford's 10R80.</t>
  </si>
  <si>
    <t xml:space="preserve">• SECTION 179 SURPRISE. The Kia Telluride (5,776-5,917 lb) and Hyundai Palisade (5,700-5,900 lb) are UNDER 6,000 lb GVWR despite their size, so they do NOT qualify for the heavy-vehicle treatment. Honda Pilot, Chevy Traverse, GMC Acadia, and Grand Highlander straddle the line by trim and drivetrain. The door-jamb Safety Compliance sticker is the only authoritative source — pull a photo before you buy.</t>
  </si>
  <si>
    <t xml:space="preserve">• FULL-SIZE SUV MATH. At 55,000 mi/yr, a 17 mpg full-size SUV burns about 3,235 gallons a year against 1,964 for a 28 mpg crossover. At $3.55/gal that is roughly a $4,500/yr fuel penalty. Best-in-segment resale recovers only part of it. A gas Tahoe/Yukon is justified only if you genuinely need the tow rating, eight or nine seats, or body-on-frame durability. The 3.0L Duramax is NOT the escape hatch it looks like: at Indiana's $5.35 diesel vs $3.55 gas, 27 mpg diesel costs $0.198/mi against $0.182/mi for the 19.5 mpg gas V8. The diesel only wins if the per-gallon premium falls below about $1.15. Check both fuel prices before assuming diesel saves money.</t>
  </si>
  <si>
    <t xml:space="preserve">Turnover Strategy Comparison</t>
  </si>
  <si>
    <t xml:space="preserve">Same cost engine, different buy and sell points. Answers 'when do I turn over', not 'what do I buy'.</t>
  </si>
  <si>
    <t xml:space="preserve">Strategy</t>
  </si>
  <si>
    <t xml:space="preserve">Buy odo</t>
  </si>
  <si>
    <t xml:space="preserve">Sell odo</t>
  </si>
  <si>
    <t xml:space="preserve">Cycle miles</t>
  </si>
  <si>
    <t xml:space="preserve">Years</t>
  </si>
  <si>
    <t xml:space="preserve">Idx buy</t>
  </si>
  <si>
    <t xml:space="preserve">Idx sell</t>
  </si>
  <si>
    <t xml:space="preserve">Mi &lt;100k</t>
  </si>
  <si>
    <t xml:space="preserve">Mi 100-150k</t>
  </si>
  <si>
    <t xml:space="preserve">Mi &gt;150k</t>
  </si>
  <si>
    <t xml:space="preserve">Repair $/mi</t>
  </si>
  <si>
    <t xml:space="preserve">Maint $/mi</t>
  </si>
  <si>
    <t xml:space="preserve">Ins+reg $/mi</t>
  </si>
  <si>
    <t xml:space="preserve">Capital $/mi</t>
  </si>
  <si>
    <t xml:space="preserve">A — Buy 40k, sell 150k (24 mo)</t>
  </si>
  <si>
    <t xml:space="preserve">B — Buy 40k, sell 180k (30 mo)</t>
  </si>
  <si>
    <t xml:space="preserve">C — Buy 70k, sell 180k (24 mo)</t>
  </si>
  <si>
    <t xml:space="preserve">D — Buy 100k, run to 210k (24 mo)</t>
  </si>
  <si>
    <t xml:space="preserve">E — Buy new/CPO 5k, run to 200k</t>
  </si>
  <si>
    <t xml:space="preserve">Assumes a 24 mpg mid-size SUV and crossover tires for all strategies so the comparison isolates buy/sell timing rather than vehicle choice.</t>
  </si>
  <si>
    <t xml:space="preserve">LEASE — why it's excluded</t>
  </si>
  <si>
    <t xml:space="preserve">Typical lease mileage cap (mi/yr)</t>
  </si>
  <si>
    <t xml:space="preserve">Overage miles per year</t>
  </si>
  <si>
    <t xml:space="preserve">Overage charge ($/mi, low end)</t>
  </si>
  <si>
    <t xml:space="preserve">Overage charge ($/mi, high end)</t>
  </si>
  <si>
    <t xml:space="preserve">Annual overage penalty — low</t>
  </si>
  <si>
    <t xml:space="preserve">Annual overage penalty — high</t>
  </si>
  <si>
    <t xml:space="preserve">Overage alone runs $6,000-$13,500 a year before a single lease payment. Not a close call.</t>
  </si>
  <si>
    <t xml:space="preserve">• Depreciation per mile keeps falling as you buy higher on the odometer — Strategy D is less than half of Strategy B. What kills D is repair variance and downtime, which the reserve rates only partly capture. For a driver whose income depends on being somewhere, a tow is a repair bill plus an unbillable day.</t>
  </si>
  <si>
    <t xml:space="preserve">• 180,000 is not the depreciation-optimal exit. The curve is flattest past 150k, so pure depreciation math says hold longer. Repair variance is what argues for getting out. On a Toyota with credible 250k legs, stretching toward 200k genuinely does lower cost per mile — you're accepting a wider distribution to get there.</t>
  </si>
  <si>
    <t xml:space="preserve">• Strategy E is worst because you personally absorb the first-year cliff (KBB puts it near 20%) that Strategies A-D let someone else eat.</t>
  </si>
  <si>
    <t xml:space="preserve">• Two-cheap-vehicles-in-rotation isn't modeled because its economics hinge almost entirely on whether the owner does his own brakes and suspension. If he does, it becomes competitive; if not, doubled failure exposure sinks it.</t>
  </si>
  <si>
    <t xml:space="preserve">Hold-Period Resale Analysis</t>
  </si>
  <si>
    <t xml:space="preserve">How much the vehicle is worth, and what depreciation costs per mile, at each length of ownership. Driven by the buy odometer and annual miles on the Inputs tab.</t>
  </si>
  <si>
    <t xml:space="preserve">At 55,000 mi/yr a 2-year hold means selling at 150,000 miles. A 3-year hold means 205,000.</t>
  </si>
  <si>
    <t xml:space="preserve">1yr sell odo</t>
  </si>
  <si>
    <t xml:space="preserve">1yr resale</t>
  </si>
  <si>
    <t xml:space="preserve">1yr deprec $/mi</t>
  </si>
  <si>
    <t xml:space="preserve">2yr sell odo</t>
  </si>
  <si>
    <t xml:space="preserve">2yr resale</t>
  </si>
  <si>
    <t xml:space="preserve">2yr deprec $/mi</t>
  </si>
  <si>
    <t xml:space="preserve">2.5yr sell odo</t>
  </si>
  <si>
    <t xml:space="preserve">2.5yr resale</t>
  </si>
  <si>
    <t xml:space="preserve">2.5yr deprec $/mi</t>
  </si>
  <si>
    <t xml:space="preserve">3yr sell odo</t>
  </si>
  <si>
    <t xml:space="preserve">3yr resale</t>
  </si>
  <si>
    <t xml:space="preserve">3yr deprec $/mi</t>
  </si>
  <si>
    <t xml:space="preserve">4yr sell odo</t>
  </si>
  <si>
    <t xml:space="preserve">4yr resale</t>
  </si>
  <si>
    <t xml:space="preserve">4yr deprec $/mi</t>
  </si>
  <si>
    <t xml:space="preserve">T1</t>
  </si>
  <si>
    <t xml:space="preserve">T2</t>
  </si>
  <si>
    <t xml:space="preserve">T3</t>
  </si>
  <si>
    <t xml:space="preserve">- Depreciation per mile FALLS the longer you hold, because the depreciation curve flattens past 100,000 miles. That is the whole argument for a longer hold and it is visible in these columns.</t>
  </si>
  <si>
    <t xml:space="preserve">- It is not the whole story. Repair risk climbs in the opposite direction, and the repair reserve on the Inputs tab (3 cents/mi under 100k, 6 cents 100-150k, 10 cents over 150k) is what pulls the total back the other way. Read this tab alongside the Strategies tab, not instead of it.</t>
  </si>
  <si>
    <t xml:space="preserve">- A 2-year hold at 55,000 mi/yr sells the vehicle at 150,000 miles - still inside most manufacturers' credible service life. A 4-year hold sells at 260,000, which is past the point where the resale curve has data behind it. Treat the 4-year column as directional only.</t>
  </si>
  <si>
    <t xml:space="preserve">- Resale is purchase price x market retention ratio x the model's resale-strength factor, capped at purchase price. It does not model condition, accident history, or a soft used market.</t>
  </si>
  <si>
    <t xml:space="preserve">Ownership Structure &amp; Tax Scenarios</t>
  </si>
  <si>
    <t xml:space="preserve">Personal ownership with the standard mileage rate vs. business ownership with accelerated depreciation.</t>
  </si>
  <si>
    <t xml:space="preserve">SCENARIO SETUP</t>
  </si>
  <si>
    <t xml:space="preserve">Vehicle purchase price</t>
  </si>
  <si>
    <t xml:space="preserve">The vehicle being analyzed. Independent of the Models tab so you can test any candidate.</t>
  </si>
  <si>
    <t xml:space="preserve">GVWR over 6,000 lb?</t>
  </si>
  <si>
    <t xml:space="preserve">Determines whether Sec. 280F luxury-auto caps apply. Check the door-jamb sticker — it is the only authoritative source.</t>
  </si>
  <si>
    <t xml:space="preserve">Set on the Inputs tab.</t>
  </si>
  <si>
    <t xml:space="preserve">Annual miles</t>
  </si>
  <si>
    <t xml:space="preserve">Business miles per year</t>
  </si>
  <si>
    <t xml:space="preserve">Federal + SE + Indiana. Zero if W-2.</t>
  </si>
  <si>
    <t xml:space="preserve">Estimated resale at end of cycle</t>
  </si>
  <si>
    <t xml:space="preserve">Uses the market retention ratio. Drives the recapture calculation below.</t>
  </si>
  <si>
    <t xml:space="preserve">Annual actual operating cost (deductible portion)</t>
  </si>
  <si>
    <t xml:space="preserve">Fuel, tires, maintenance, repair reserve, insurance, registration. Excludes depreciation, which is handled per scenario.</t>
  </si>
  <si>
    <t xml:space="preserve">SCENARIO 1 — Personal ownership, standard mileage, W-2 employee</t>
  </si>
  <si>
    <t xml:space="preserve">Annual deduction</t>
  </si>
  <si>
    <t xml:space="preserve">Zero. TCJA suspended unreimbursed employee business expenses; OBBBA (7/4/2025) made it permanent via IRC 67(g). IRS Pub 463 confirms.</t>
  </si>
  <si>
    <t xml:space="preserve">Annual tax benefit</t>
  </si>
  <si>
    <t xml:space="preserve">There is no deduction to benefit from.</t>
  </si>
  <si>
    <t xml:space="preserve">Verdict</t>
  </si>
  <si>
    <t xml:space="preserve">If the driver is a W-2 employee, the only tax-advantaged route is an employer accountable-plan reimbursement.</t>
  </si>
  <si>
    <t xml:space="preserve">SCENARIO 2 — Personal ownership, standard mileage, self-employed</t>
  </si>
  <si>
    <t xml:space="preserve">IRS standard mileage rate</t>
  </si>
  <si>
    <t xml:space="preserve">2026 blended: 72.5c Jan-Jun, 76c Jul-Dec.</t>
  </si>
  <si>
    <t xml:space="preserve">Benefit per mile driven</t>
  </si>
  <si>
    <t xml:space="preserve">Recordkeeping burden</t>
  </si>
  <si>
    <t xml:space="preserve">Low</t>
  </si>
  <si>
    <t xml:space="preserve">Mileage log only. No receipts required for the deduction itself.</t>
  </si>
  <si>
    <t xml:space="preserve">SCENARIO 3 — Personal ownership, actual expense method, self-employed</t>
  </si>
  <si>
    <t xml:space="preserve">Annual operating cost (deductible portion)</t>
  </si>
  <si>
    <t xml:space="preserve">Annual straight-line depreciation</t>
  </si>
  <si>
    <t xml:space="preserve">Purchase less resale, spread over the cycle, times business use.</t>
  </si>
  <si>
    <t xml:space="preserve">Advantage vs. standard mileage</t>
  </si>
  <si>
    <t xml:space="preserve">Negative means standard mileage wins. At 55,000 miles it usually does — the deduction scales with miles while actual per-mile cost falls.</t>
  </si>
  <si>
    <t xml:space="preserve">High</t>
  </si>
  <si>
    <t xml:space="preserve">Every receipt, plus a depreciation schedule.</t>
  </si>
  <si>
    <t xml:space="preserve">SCENARIO 4 — Business ownership, Section 179 / 100% bonus depreciation</t>
  </si>
  <si>
    <t xml:space="preserve">OBBBA sec. 70301 restored 100% permanently for property placed in service after 1/19/2025.</t>
  </si>
  <si>
    <t xml:space="preserve">First-year deduction cap</t>
  </si>
  <si>
    <t xml:space="preserve">Above 6,000 lb GVWR the Sec. 280F caps do not apply, so bonus can expense the full business-use portion. At or below, the cap is $20,300 for 2026 (Rev. Proc. 2026-15).</t>
  </si>
  <si>
    <t xml:space="preserve">Year-one deduction</t>
  </si>
  <si>
    <t xml:space="preserve">Year-one tax benefit</t>
  </si>
  <si>
    <t xml:space="preserve">The headline number every dealer quotes at you.</t>
  </si>
  <si>
    <t xml:space="preserve">Operating deductions over the cycle</t>
  </si>
  <si>
    <t xml:space="preserve">Tax benefit on operating deductions</t>
  </si>
  <si>
    <t xml:space="preserve">Gross benefit over the cycle</t>
  </si>
  <si>
    <t xml:space="preserve">SCENARIO 4 CONTINUED — the recapture that reverses it</t>
  </si>
  <si>
    <t xml:space="preserve">Depreciation claimed</t>
  </si>
  <si>
    <t xml:space="preserve">Adjusted basis at sale</t>
  </si>
  <si>
    <t xml:space="preserve">Business-use basis less depreciation taken. Usually zero after a 100% write-off.</t>
  </si>
  <si>
    <t xml:space="preserve">Sale proceeds (business-use portion)</t>
  </si>
  <si>
    <t xml:space="preserve">Gain on sale</t>
  </si>
  <si>
    <t xml:space="preserve">Sec. 1245 recapture — taxed as ORDINARY income</t>
  </si>
  <si>
    <t xml:space="preserve">Vehicles are Sec. 1245 property. Depreciation comes back at your marginal rate, not capital gains.</t>
  </si>
  <si>
    <t xml:space="preserve">Recapture tax cost</t>
  </si>
  <si>
    <t xml:space="preserve">NET benefit over the cycle</t>
  </si>
  <si>
    <t xml:space="preserve">What business ownership is actually worth after recapture.</t>
  </si>
  <si>
    <t xml:space="preserve">Scenario 2 benefit over the same cycle</t>
  </si>
  <si>
    <t xml:space="preserve">Standard mileage, self-employed, for the identical period.</t>
  </si>
  <si>
    <t xml:space="preserve">Business ownership advantage</t>
  </si>
  <si>
    <t xml:space="preserve">Negative means keep it personal and take the standard mileage rate. At this turnover cadence it usually is.</t>
  </si>
  <si>
    <t xml:space="preserve">THE THREE TRAPS</t>
  </si>
  <si>
    <t xml:space="preserve">Recapture arrives fast</t>
  </si>
  <si>
    <t xml:space="preserve">Selling every ~30 months means the write-off reverses almost immediately. Treat Section 179 / bonus as tax DEFERRAL, not savings. It only pays if the marginal rate is high now and expected lower later, or if a specific year needs the cash flow.</t>
  </si>
  <si>
    <t xml:space="preserve">No switching back</t>
  </si>
  <si>
    <t xml:space="preserve">Claim Section 179 or bonus (or any accelerated method) on a vehicle and the standard mileage rate is permanently unavailable for that vehicle. You are on actual expense for its entire life. IRS Pub 463.</t>
  </si>
  <si>
    <t xml:space="preserve">The 50% cliff</t>
  </si>
  <si>
    <t xml:space="preserve">Business use must exceed 50% to claim Section 179 or bonus. Fall below it in a later year and you recapture the excess depreciation. Substantiation requires a contemporaneous mileage log, not a reconstruction.</t>
  </si>
  <si>
    <t xml:space="preserve">None of this is tax advice. Every figure here should be confirmed with a CPA before filing.</t>
  </si>
  <si>
    <t xml:space="preserve">Actual Cost Tracker</t>
  </si>
  <si>
    <t xml:space="preserve">Log everything. The summary block compares reality against the model so you can recalibrate the assumptions on Inputs.</t>
  </si>
  <si>
    <t xml:space="preserve">Date</t>
  </si>
  <si>
    <t xml:space="preserve">Vendor / description</t>
  </si>
  <si>
    <t xml:space="preserve">Amount</t>
  </si>
  <si>
    <t xml:space="preserve">Notes</t>
  </si>
  <si>
    <t xml:space="preserve">SUMMARY</t>
  </si>
  <si>
    <t xml:space="preserve">Total $</t>
  </si>
  <si>
    <t xml:space="preserve">$ / mile</t>
  </si>
  <si>
    <t xml:space="preserve">2026-08-15</t>
  </si>
  <si>
    <t xml:space="preserve">Speedway, US-31</t>
  </si>
  <si>
    <t xml:space="preserve">EXAMPLE ROW — delete once you start logging</t>
  </si>
  <si>
    <t xml:space="preserve">Tires</t>
  </si>
  <si>
    <t xml:space="preserve">Scheduled Maintenance</t>
  </si>
  <si>
    <t xml:space="preserve">Repair</t>
  </si>
  <si>
    <t xml:space="preserve">Insurance</t>
  </si>
  <si>
    <t xml:space="preserve">Registration/Tax</t>
  </si>
  <si>
    <t xml:space="preserve">Purchase</t>
  </si>
  <si>
    <t xml:space="preserve">Sale Proceeds</t>
  </si>
  <si>
    <t xml:space="preserve">Other</t>
  </si>
  <si>
    <t xml:space="preserve">Total logged spend</t>
  </si>
  <si>
    <t xml:space="preserve">Miles logged (max odo - min odo)</t>
  </si>
  <si>
    <t xml:space="preserve">ACTUAL cost per mile</t>
  </si>
  <si>
    <t xml:space="preserve">MODELED cost per mile (Strategy B)</t>
  </si>
  <si>
    <t xml:space="preserve">Variance</t>
  </si>
  <si>
    <t xml:space="preserve">Exclude Purchase and Sale Proceeds rows when comparing to the modeled operating figure — the model handles depreciation separately.</t>
  </si>
  <si>
    <t xml:space="preserve">Multi-Objective Scoring</t>
  </si>
  <si>
    <t xml:space="preserve">Six axes, each normalized 0-100 where higher is better. Change the weights in row 5 and every score and rank recomputes.</t>
  </si>
  <si>
    <t xml:space="preserve">The axes are NOT equally trustworthy. Row 6 tags each one. Cost and Efficiency are computed or measured; Comfort starts from real decibel readings; Quality and Reliability are informed guesses.</t>
  </si>
  <si>
    <t xml:space="preserve">WEIGHTS -&gt;</t>
  </si>
  <si>
    <t xml:space="preserve">Cost</t>
  </si>
  <si>
    <t xml:space="preserve">Quality</t>
  </si>
  <si>
    <t xml:space="preserve">Longevity</t>
  </si>
  <si>
    <t xml:space="preserve">Efficiency</t>
  </si>
  <si>
    <t xml:space="preserve">Reliability</t>
  </si>
  <si>
    <t xml:space="preserve">Comfort</t>
  </si>
  <si>
    <t xml:space="preserve">Total</t>
  </si>
  <si>
    <t xml:space="preserve">computed</t>
  </si>
  <si>
    <t xml:space="preserve">judgment</t>
  </si>
  <si>
    <t xml:space="preserve">iSeeCars</t>
  </si>
  <si>
    <t xml:space="preserve">EPA/observed</t>
  </si>
  <si>
    <t xml:space="preserve">SWAG</t>
  </si>
  <si>
    <t xml:space="preserve">measured dB</t>
  </si>
  <si>
    <t xml:space="preserve">Cost $/mi</t>
  </si>
  <si>
    <t xml:space="preserve">Cabin dB</t>
  </si>
  <si>
    <t xml:space="preserve">Weighted score</t>
  </si>
  <si>
    <t xml:space="preserve">Undominated?</t>
  </si>
  <si>
    <t xml:space="preserve">- 'Undominated' now tests all SIX axes. Only a handful of vehicles survive that - everything else is beaten on every dimension at once by something on the list.</t>
  </si>
  <si>
    <t xml:space="preserve">- Comfort is derived from measured interior-noise readings at 55 mph (median across the trims that were tested), minus points for documented seat complaints and body-on-frame ride harshness. Column E flags which readings are real measurements. This is the best-sourced of the three subjective axes.</t>
  </si>
  <si>
    <t xml:space="preserve">- Reliability is a SWAG: Consumer Reports brand record rescaled, minus penalties for documented mid-life failure patterns (GM AFM lifters, Ram Hemi MDS, Ford 10R80 and cam phasers, Jatco CVT, ZF 9HP, Theta II, the Toyota V35A recall). It is not measured failure data. Replace it with NHTSA data if you want rigor - see the Sources tab.</t>
  </si>
  <si>
    <t xml:space="preserve">- Quality is my own construct: 45% tier judgment, 35% transmission record, 20% engine architecture. It overlaps with Reliability by design. If you weight both heavily you are double-counting drivetrain risk.</t>
  </si>
  <si>
    <t xml:space="preserve">Strategy Matrix</t>
  </si>
  <si>
    <t xml:space="preserve">Each row is a different way of caring about the problem. The winner is what that strategy picks.</t>
  </si>
  <si>
    <t xml:space="preserve">What it optimizes for</t>
  </si>
  <si>
    <t xml:space="preserve">Qual</t>
  </si>
  <si>
    <t xml:space="preserve">Long</t>
  </si>
  <si>
    <t xml:space="preserve">Eff</t>
  </si>
  <si>
    <t xml:space="preserve">Rel</t>
  </si>
  <si>
    <t xml:space="preserve">Comf</t>
  </si>
  <si>
    <t xml:space="preserve">Restricted to</t>
  </si>
  <si>
    <t xml:space="preserve">WINNER</t>
  </si>
  <si>
    <t xml:space="preserve">Score</t>
  </si>
  <si>
    <t xml:space="preserve">$/mile</t>
  </si>
  <si>
    <t xml:space="preserve">Runner-up</t>
  </si>
  <si>
    <t xml:space="preserve">Third</t>
  </si>
  <si>
    <t xml:space="preserve">Minimum cost</t>
  </si>
  <si>
    <t xml:space="preserve">Cheapest per mile. Nothing else counted.</t>
  </si>
  <si>
    <t xml:space="preserve">-</t>
  </si>
  <si>
    <t xml:space="preserve">Maximum quality</t>
  </si>
  <si>
    <t xml:space="preserve">Best drivetrain architecture. Price ignored.</t>
  </si>
  <si>
    <t xml:space="preserve">Maximum longevity</t>
  </si>
  <si>
    <t xml:space="preserve">Most likely to pass 250,000 miles.</t>
  </si>
  <si>
    <t xml:space="preserve">Maximum efficiency</t>
  </si>
  <si>
    <t xml:space="preserve">Highest real highway MPG.</t>
  </si>
  <si>
    <t xml:space="preserve">Maximum reliability</t>
  </si>
  <si>
    <t xml:space="preserve">Best brand record, fewest documented failure patterns.</t>
  </si>
  <si>
    <t xml:space="preserve">Maximum comfort</t>
  </si>
  <si>
    <t xml:space="preserve">Quietest cabin, best seat and ride.</t>
  </si>
  <si>
    <t xml:space="preserve">Balanced six</t>
  </si>
  <si>
    <t xml:space="preserve">All six axes, cost weighted highest.</t>
  </si>
  <si>
    <t xml:space="preserve">Balanced thirds</t>
  </si>
  <si>
    <t xml:space="preserve">The original three axes, equally.</t>
  </si>
  <si>
    <t xml:space="preserve">Cost + comfort</t>
  </si>
  <si>
    <t xml:space="preserve">Cheap and quiet. Ignores whether it lasts.</t>
  </si>
  <si>
    <t xml:space="preserve">Cost + reliability</t>
  </si>
  <si>
    <t xml:space="preserve">Cheap and unlikely to break.</t>
  </si>
  <si>
    <t xml:space="preserve">Run it forever</t>
  </si>
  <si>
    <t xml:space="preserve">Durability only. Price is not the constraint.</t>
  </si>
  <si>
    <t xml:space="preserve">Butt in seat</t>
  </si>
  <si>
    <t xml:space="preserve">For 1,100 hours a year in the driver's seat.</t>
  </si>
  <si>
    <t xml:space="preserve">Never breaks down</t>
  </si>
  <si>
    <t xml:space="preserve">Downtime is the enemy. Uptime over everything.</t>
  </si>
  <si>
    <t xml:space="preserve">Cost-led</t>
  </si>
  <si>
    <t xml:space="preserve">Cost dominates but everything else still votes.</t>
  </si>
  <si>
    <t xml:space="preserve">Fuel-shock hedge</t>
  </si>
  <si>
    <t xml:space="preserve">Weighted to MPG. Use if you expect gas above $4.50.</t>
  </si>
  <si>
    <t xml:space="preserve">Fleet economics</t>
  </si>
  <si>
    <t xml:space="preserve">Cost and distance. How a fleet manager picks.</t>
  </si>
  <si>
    <t xml:space="preserve">Long-haul comfort + durability</t>
  </si>
  <si>
    <t xml:space="preserve">The 55,000-mile-a-year answer.</t>
  </si>
  <si>
    <t xml:space="preserve">Heavy vehicle, balanced</t>
  </si>
  <si>
    <t xml:space="preserve">Balanced six, restricted to &gt;6,000 lb GVWR.</t>
  </si>
  <si>
    <t xml:space="preserve">Truck, balanced</t>
  </si>
  <si>
    <t xml:space="preserve">Balanced six, pickups only.</t>
  </si>
  <si>
    <t xml:space="preserve">Pickups only</t>
  </si>
  <si>
    <t xml:space="preserve">Three-row, balanced</t>
  </si>
  <si>
    <t xml:space="preserve">Balanced six, three-row family haulers only.</t>
  </si>
  <si>
    <t xml:space="preserve">Three-row / minivan</t>
  </si>
  <si>
    <t xml:space="preserve">HOW TO READ THIS</t>
  </si>
  <si>
    <t xml:space="preserve">- Static snapshots at the default Inputs. Change the Inputs tab and the Models tab moves, but this matrix does not recompute - use the Scoring tab or the interactive HTML tool for live results.</t>
  </si>
  <si>
    <t xml:space="preserve">- The same vehicle winning many rows is the signal. It means the choice is robust: it does not depend on how you weight the trade-offs, so you never have to settle the philosophical question of what matters most.</t>
  </si>
  <si>
    <t xml:space="preserve">- Where a strategy picks a Tier 3 vehicle, the strategy is wrong for a 180,000-mile plan, not the data. 'Cost + comfort' will happily recommend a quiet crossover with a transmission that will not survive the ownership period. That is what it was asked to do.</t>
  </si>
  <si>
    <t xml:space="preserve">- Quality and Reliability overlap on purpose. Weighting both at maximum double-counts drivetrain risk. Pick one as your primary durability axis.</t>
  </si>
  <si>
    <t xml:space="preserve">Sources &amp; Source Quality</t>
  </si>
  <si>
    <t xml:space="preserve">Every material number in this workbook, with a note on how much weight it deserves.</t>
  </si>
  <si>
    <t xml:space="preserve">Figure</t>
  </si>
  <si>
    <t xml:space="preserve">Source</t>
  </si>
  <si>
    <t xml:space="preserve">Confidence</t>
  </si>
  <si>
    <t xml:space="preserve">Depreciation by odometer band</t>
  </si>
  <si>
    <t xml:space="preserve">ForCar (Aug 2026), pooled analysis of ~327,000 US used listings. Median price by band; ~$1,615 lost per 10,000 miles on average.</t>
  </si>
  <si>
    <t xml:space="preserve">Medium — asking-price cross-sections, not tracked VINs</t>
  </si>
  <si>
    <t xml:space="preserve">Depreciation theory</t>
  </si>
  <si>
    <t xml:space="preserve">Sallee, West &amp; Knittel, 'Automobile Depreciation', NBER Working Paper w21441. Establishes separate age and mileage components; notes a simple polynomial fits poorly at high odometer.</t>
  </si>
  <si>
    <t xml:space="preserve">High — peer-reviewed</t>
  </si>
  <si>
    <t xml:space="preserve">Depreciation slowdown past 110k</t>
  </si>
  <si>
    <t xml:space="preserve">Auto Express / Carwow analysis.</t>
  </si>
  <si>
    <t xml:space="preserve">Medium — UK market</t>
  </si>
  <si>
    <t xml:space="preserve">First-year depreciation ~20%</t>
  </si>
  <si>
    <t xml:space="preserve">Kelley Blue Book depreciation calculator.</t>
  </si>
  <si>
    <t xml:space="preserve">Medium — KBB sells vehicle valuations</t>
  </si>
  <si>
    <t xml:space="preserve">Total ownership cost benchmark</t>
  </si>
  <si>
    <t xml:space="preserve">AAA 'Your Driving Costs' (released 9/16/2025): average $4,334/yr depreciation, down from $4,680 in 2024; total $11,577/yr or $964.78/mo.</t>
  </si>
  <si>
    <t xml:space="preserve">High — but assumes 15,000 mi/yr, not 55,000</t>
  </si>
  <si>
    <t xml:space="preserve">Indiana fuel prices</t>
  </si>
  <si>
    <t xml:space="preserve">AAA via WWBL, early Aug 2026: $3.55 regular, $5.35 diesel. National average $4.06-$4.11.</t>
  </si>
  <si>
    <t xml:space="preserve">High — daily survey</t>
  </si>
  <si>
    <t xml:space="preserve">Tire tread life</t>
  </si>
  <si>
    <t xml:space="preserve">Consumer Reports treadwear testing: 70,000-100,000 miles for premium touring tires.</t>
  </si>
  <si>
    <t xml:space="preserve">High — independent testing</t>
  </si>
  <si>
    <t xml:space="preserve">Maintenance cost curve</t>
  </si>
  <si>
    <t xml:space="preserve">YourMechanic: ~$1,400 to reach 25,000 miles, costs rise rapidly to 100,000.</t>
  </si>
  <si>
    <t xml:space="preserve">Medium</t>
  </si>
  <si>
    <t xml:space="preserve">Major repair incidence</t>
  </si>
  <si>
    <t xml:space="preserve">CoverageX: ~2/3 of vehicles over 100k miles hit a major repair averaging $3,847 within 12 months.</t>
  </si>
  <si>
    <t xml:space="preserve">LOW — extended warranty seller, obvious bias. Treat as a ceiling.</t>
  </si>
  <si>
    <t xml:space="preserve">Repair cost ranges</t>
  </si>
  <si>
    <t xml:space="preserve">Aggregated: transmission rebuild $2,000-$5,500; suspension overhaul $2,000-$3,500; AC compressor $1,800-$2,800; catalytic converter $1,500-$2,500.</t>
  </si>
  <si>
    <t xml:space="preserve">Indiana insurance</t>
  </si>
  <si>
    <t xml:space="preserve">Insure.com $1,856; CarInsurance.com $1,515; Experian $1,694; MoneyGeek $1,009. Spread reflects methodology differences.</t>
  </si>
  <si>
    <t xml:space="preserve">Medium — wide spread, get a real quote</t>
  </si>
  <si>
    <t xml:space="preserve">Indiana registration &amp; excise</t>
  </si>
  <si>
    <t xml:space="preserve">Indiana BMV: ~$21.35 base. Hamilton County wheel tax $15 plus an excise surtax keyed to original MSRP, declining with vehicle age. Marion County by comparison: $47.50 surtax + $30 wheel tax.</t>
  </si>
  <si>
    <t xml:space="preserve">High — primary source</t>
  </si>
  <si>
    <t xml:space="preserve">5-year depreciation by model</t>
  </si>
  <si>
    <t xml:space="preserve">iSeeCars 2026 study: 950,000+ five-year-old vehicles sold Mar 2025-Feb 2026. Industry average 41.8%, a 3.8-point improvement over 2025. Measured against inflation-adjusted MSRP.</t>
  </si>
  <si>
    <t xml:space="preserve">High — large sample</t>
  </si>
  <si>
    <t xml:space="preserve">Odds of reaching 250,000 miles</t>
  </si>
  <si>
    <t xml:space="preserve">iSeeCars 2025 longest-lasting study, ~400 million vehicles. Analyst Karl Brauer: range 9.1%-39.1%, led by the Sequoia at 39.1%, against a 4.8% industry average. Baseline shifts yearly (11.8% in 2023, 8.6% in 2024, 4.8% in 2025) — rankings are stable, absolute percentages are not.</t>
  </si>
  <si>
    <t xml:space="preserve">High — but compare within a study year only</t>
  </si>
  <si>
    <t xml:space="preserve">Per-model annual repair cost</t>
  </si>
  <si>
    <t xml:space="preserve">RepairPal: Tacoma $478, Tundra $606, F-150 $788.</t>
  </si>
  <si>
    <t xml:space="preserve">2026 standard mileage rate</t>
  </si>
  <si>
    <t xml:space="preserve">IRS Notice 2026-10 (12/29/2025): 72.5 cents, up 2.5 cents from 2025's 70 cents. IRS Announcement 2026-11 raised it to 76 cents effective 7/1/2026, citing a ~34% rise in fuel prices.</t>
  </si>
  <si>
    <t xml:space="preserve">High — IRS primary source</t>
  </si>
  <si>
    <t xml:space="preserve">W-2 mileage not deductible</t>
  </si>
  <si>
    <t xml:space="preserve">TCJA suspended unreimbursed employee business expenses as a 2%-of-AGI miscellaneous itemized deduction. OBBBA (signed 7/4/2025) amended IRC 67(g) to remove the sunset, making it permanent. IRS Publication 463 confirms employees cannot use the business standard mileage rate.</t>
  </si>
  <si>
    <t xml:space="preserve">100% bonus depreciation restored</t>
  </si>
  <si>
    <t xml:space="preserve">OBBBA sec. 70301: permanent 100% bonus for qualified property acquired and placed in service after 1/19/2025. Transition rules in IRS Notice 2026-11.</t>
  </si>
  <si>
    <t xml:space="preserve">High — statute</t>
  </si>
  <si>
    <t xml:space="preserve">Section 179 heavy SUV cap</t>
  </si>
  <si>
    <t xml:space="preserve">$31,300 for 2026 (6,001-14,000 lb GVWR). Bonus depreciation has no equivalent cap.</t>
  </si>
  <si>
    <t xml:space="preserve">Sec. 280F light vehicle cap</t>
  </si>
  <si>
    <t xml:space="preserve">Rev. Proc. 2026-15: $20,300 first year with bonus, $12,300 without, at or below 6,000 lb GVWR.</t>
  </si>
  <si>
    <t xml:space="preserve">Sec. 1245 recapture</t>
  </si>
  <si>
    <t xml:space="preserve">Vehicles are Sec. 1245 property. Depreciation is recaptured as ordinary income up to the gain on sale, at the marginal rate.</t>
  </si>
  <si>
    <t xml:space="preserve">Hybrid battery longevity</t>
  </si>
  <si>
    <t xml:space="preserve">Toyota NiMH/Li packs routinely exceed 200,000-300,000 miles in taxi and fleet service. Constant use keeps cells balanced and thermally managed; highway miles are gentler than stop-and-go.</t>
  </si>
  <si>
    <t xml:space="preserve">Medium — fleet observation</t>
  </si>
  <si>
    <t xml:space="preserve">EV fast charging cost</t>
  </si>
  <si>
    <t xml:space="preserve">AAA, Aug 2026: Indiana public DC fast charging averaged ~42 cents/kWh.</t>
  </si>
  <si>
    <t xml:space="preserve">EV depreciation</t>
  </si>
  <si>
    <t xml:space="preserve">iSeeCars: ~58.5% over five years, worst of any segment.</t>
  </si>
  <si>
    <t xml:space="preserve">Lease mileage overage</t>
  </si>
  <si>
    <t xml:space="preserve">Industry standard: 10,000-15,000 mi/yr caps, 15-30 cents per excess mile.</t>
  </si>
  <si>
    <t xml:space="preserve">High — standard terms</t>
  </si>
  <si>
    <t xml:space="preserve">iSeeCars baseline drift (depreciation)</t>
  </si>
  <si>
    <t xml:space="preserve">The 5-year depreciation industry average moved across studies: 38.8% (2023), 45.6% (2025), 41.8% (2026). Per analyst Karl Brauer, the 2026 improvement 'suggests rising used car demand and/or insufficient supply over the past 12 months.' Category averages 2026: trucks 34.2%, hybrids 35.4%, EVs 57.2%.</t>
  </si>
  <si>
    <t xml:space="preserve">High — but cross-year figures are NOT comparable</t>
  </si>
  <si>
    <t xml:space="preserve">iSeeCars baseline drift (250k odds)</t>
  </si>
  <si>
    <t xml:space="preserve">The longevity baseline collapsed: 11.8% (2023) to 8.6% (2024) to 4.8% (2025). The 2025 study analyzed 174M+ vehicles. Sequoia #1 at 39.1%, 4Runner #2 at 32.9%, Highlander Hybrid #3 and top hybrid at 31.0%, Ridgeline top non-HD pickup at 14.7%.</t>
  </si>
  <si>
    <t xml:space="preserve">High — compare within a study year only</t>
  </si>
  <si>
    <t xml:space="preserve">Nissan Jatco CVT failures</t>
  </si>
  <si>
    <t xml:space="preserve">Stringer v. Nissan class settlement: $277.7 million, covering 2014-2018 Rogue, 2015-2018 Pathfinder, 2015-2018 Infiniti QX60. Powertrain warranty extended 24 months / 24,000 miles, to 84mo/84k.</t>
  </si>
  <si>
    <t xml:space="preserve">High — court settlement</t>
  </si>
  <si>
    <t xml:space="preserve">ZF 9HP 9-speed failures</t>
  </si>
  <si>
    <t xml:space="preserve">7,000+ complaints on 2014-2015 Jeep Cherokees alone (roughly 4,000 on the 2014 model year), plus an 82,000-unit recall. Affects Cherokee, Compass, Renegade.</t>
  </si>
  <si>
    <t xml:space="preserve">Medium-high — NHTSA/CarComplaints aggregate</t>
  </si>
  <si>
    <t xml:space="preserve">Ford 10R80 10-speed</t>
  </si>
  <si>
    <t xml:space="preserve">Rebuild cost $3,800-$5,200 (CarEdge, GearFixes). Used in Explorer, Ranger, F-150, Expedition. GM's 10L80 has a materially better field record.</t>
  </si>
  <si>
    <t xml:space="preserve">GM 3.6L timing chain</t>
  </si>
  <si>
    <t xml:space="preserve">RepairPal: GMC Acadia timing chain $2,786-$3,639; water pump $1,101-$1,530. Chevrolet Traverse water pump $1,080-$1,668.</t>
  </si>
  <si>
    <t xml:space="preserve">Medium-high — RepairPal estimator</t>
  </si>
  <si>
    <t xml:space="preserve">Telluride/Palisade GVWR</t>
  </si>
  <si>
    <t xml:space="preserve">Both fall UNDER 6,000 lb GVWR (Telluride 5,776-5,917; Palisade ~5,700-5,900) despite their size, so neither qualifies for heavy-vehicle Section 179 treatment. Per Ford and other OEMs, the door-jamb Safety Compliance label is the only authoritative GVWR source.</t>
  </si>
  <si>
    <t xml:space="preserve">Medium — verify per VIN at the door jamb</t>
  </si>
  <si>
    <t xml:space="preserve">Ford Maverick Hybrid highway MPG</t>
  </si>
  <si>
    <t xml:space="preserve">Car and Driver 75-mph highway test returned 30 mpg, about 3 mpg under the EPA figure.</t>
  </si>
  <si>
    <t xml:space="preserve">High — instrumented test</t>
  </si>
  <si>
    <t xml:space="preserve">CONFLICTING FUEL PRICE</t>
  </si>
  <si>
    <t xml:space="preserve">Two research passes returned different Indiana gas prices for mid-2026: $3.55/gal (AAA via WWBL, early Aug 2026, with a specific date and outlet) and ~$3.10/gal (less specifically sourced). The workbook uses $3.55 as the more precisely attributed figure. This is an input cell — flex it. At $3.10 the full-size SUV fuel penalty narrows from ~$4,500/yr to ~$3,900/yr and every ranking shifts toward the thirstier vehicles.</t>
  </si>
  <si>
    <t xml:space="preserve">FLAGGED CONFLICT — sources disagree</t>
  </si>
  <si>
    <t xml:space="preserve">Sources deliberately discounted: dealer Section 179 landing pages (marketing), CarMax/Carvana/Vroom content (they profit from turnover frequency), extended-warranty vendors (they profit from repair anxiety), and affiliate-monetized 'best cars' listicles. Where a claim from one of these was used, it was cross-checked against a primary source or flagged above.</t>
  </si>
</sst>
</file>

<file path=xl/styles.xml><?xml version="1.0" encoding="utf-8"?>
<styleSheet xmlns="http://schemas.openxmlformats.org/spreadsheetml/2006/main">
  <numFmts count="11">
    <numFmt numFmtId="164" formatCode="General"/>
    <numFmt numFmtId="165" formatCode="#,##0"/>
    <numFmt numFmtId="166" formatCode="#,##0.0"/>
    <numFmt numFmtId="167" formatCode="\$#,##0.00"/>
    <numFmt numFmtId="168" formatCode="\$#,##0;&quot;($&quot;#,##0\);\-"/>
    <numFmt numFmtId="169" formatCode="\$#,##0.000;&quot;($&quot;#,##0.000\);\-"/>
    <numFmt numFmtId="170" formatCode="0.0%"/>
    <numFmt numFmtId="171" formatCode="0.00"/>
    <numFmt numFmtId="172" formatCode="\$#,##0.000"/>
    <numFmt numFmtId="173" formatCode="0.000"/>
    <numFmt numFmtId="174" formatCode="0.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95959"/>
      <name val="Arial"/>
      <family val="0"/>
      <charset val="1"/>
    </font>
    <font>
      <b val="true"/>
      <sz val="11"/>
      <name val="Arial"/>
      <family val="0"/>
      <charset val="1"/>
    </font>
    <font>
      <b val="true"/>
      <sz val="10"/>
      <name val="Arial"/>
      <family val="0"/>
      <charset val="1"/>
    </font>
    <font>
      <sz val="10"/>
      <name val="Arial"/>
      <family val="0"/>
      <charset val="1"/>
    </font>
    <font>
      <sz val="10"/>
      <color rgb="FF0000FF"/>
      <name val="Arial"/>
      <family val="0"/>
      <charset val="1"/>
    </font>
    <font>
      <sz val="10"/>
      <color rgb="FF008000"/>
      <name val="Arial"/>
      <family val="0"/>
      <charset val="1"/>
    </font>
    <font>
      <b val="true"/>
      <sz val="11"/>
      <color rgb="FFFFFFFF"/>
      <name val="Arial"/>
      <family val="0"/>
      <charset val="1"/>
    </font>
  </fonts>
  <fills count="9">
    <fill>
      <patternFill patternType="none"/>
    </fill>
    <fill>
      <patternFill patternType="gray125"/>
    </fill>
    <fill>
      <patternFill patternType="solid">
        <fgColor rgb="FFD9E2F3"/>
        <bgColor rgb="FFF2F2F2"/>
      </patternFill>
    </fill>
    <fill>
      <patternFill patternType="solid">
        <fgColor rgb="FFFFFF00"/>
        <bgColor rgb="FFFFFF00"/>
      </patternFill>
    </fill>
    <fill>
      <patternFill patternType="solid">
        <fgColor rgb="FF1F3864"/>
        <bgColor rgb="FF333333"/>
      </patternFill>
    </fill>
    <fill>
      <patternFill patternType="solid">
        <fgColor rgb="FFC6EFCE"/>
        <bgColor rgb="FFD9E2F3"/>
      </patternFill>
    </fill>
    <fill>
      <patternFill patternType="solid">
        <fgColor rgb="FFFFEB9C"/>
        <bgColor rgb="FFF2F2F2"/>
      </patternFill>
    </fill>
    <fill>
      <patternFill patternType="solid">
        <fgColor rgb="FFFFC7CE"/>
        <bgColor rgb="FFD9E2F3"/>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9" fontId="9" fillId="0" borderId="1" xfId="0" applyFont="true" applyBorder="true" applyAlignment="false" applyProtection="false">
      <alignment horizontal="general" vertical="bottom" textRotation="0" wrapText="false" indent="0" shrinkToFit="false"/>
      <protection locked="true" hidden="false"/>
    </xf>
    <xf numFmtId="169" fontId="9" fillId="3"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70" fontId="9" fillId="0" borderId="1" xfId="0" applyFont="true" applyBorder="true" applyAlignment="false" applyProtection="false">
      <alignment horizontal="general" vertical="bottom" textRotation="0" wrapText="false" indent="0" shrinkToFit="false"/>
      <protection locked="true" hidden="false"/>
    </xf>
    <xf numFmtId="171" fontId="9" fillId="0" borderId="1" xfId="0" applyFont="true" applyBorder="true" applyAlignment="false" applyProtection="false">
      <alignment horizontal="general" vertical="bottom" textRotation="0" wrapText="false" indent="0" shrinkToFit="false"/>
      <protection locked="true" hidden="false"/>
    </xf>
    <xf numFmtId="172" fontId="9" fillId="3"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70" fontId="9" fillId="3" borderId="1" xfId="0" applyFont="true" applyBorder="true" applyAlignment="fals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center" vertical="bottom" textRotation="0" wrapText="true" indent="0" shrinkToFit="false"/>
      <protection locked="true" hidden="false"/>
    </xf>
    <xf numFmtId="173" fontId="8"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71" fontId="8" fillId="0" borderId="1" xfId="0" applyFont="true" applyBorder="true" applyAlignment="false" applyProtection="false">
      <alignment horizontal="general" vertical="bottom" textRotation="0" wrapText="false" indent="0" shrinkToFit="false"/>
      <protection locked="true" hidden="false"/>
    </xf>
    <xf numFmtId="168" fontId="9" fillId="3"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74" fontId="9" fillId="0" borderId="1"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xf numFmtId="164" fontId="7" fillId="6" borderId="1" xfId="0" applyFont="true" applyBorder="true" applyAlignment="true" applyProtection="false">
      <alignment horizontal="center" vertical="bottom" textRotation="0" wrapText="false" indent="0" shrinkToFit="false"/>
      <protection locked="true" hidden="false"/>
    </xf>
    <xf numFmtId="164" fontId="7" fillId="7" borderId="1" xfId="0" applyFont="true" applyBorder="true" applyAlignment="true" applyProtection="false">
      <alignment horizontal="center"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center" textRotation="0" wrapText="true" indent="0" shrinkToFit="false"/>
      <protection locked="true" hidden="false"/>
    </xf>
    <xf numFmtId="164" fontId="7" fillId="6" borderId="1" xfId="0" applyFont="true" applyBorder="true" applyAlignment="false" applyProtection="false">
      <alignment horizontal="general" vertical="bottom" textRotation="0" wrapText="false" indent="0" shrinkToFit="false"/>
      <protection locked="true" hidden="false"/>
    </xf>
    <xf numFmtId="164" fontId="7" fillId="7"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71" fontId="1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70" fontId="10"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72" fontId="10"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8" fontId="7" fillId="3"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true" applyAlignment="false" applyProtection="false">
      <alignment horizontal="general" vertical="bottom" textRotation="0" wrapText="false" indent="0" shrinkToFit="false"/>
      <protection locked="true" hidden="false"/>
    </xf>
    <xf numFmtId="164" fontId="11" fillId="4" borderId="1" xfId="0" applyFont="true" applyBorder="true" applyAlignment="true" applyProtection="false">
      <alignment horizontal="center" vertical="bottom" textRotation="0" wrapText="false" indent="0" shrinkToFit="false"/>
      <protection locked="true" hidden="false"/>
    </xf>
    <xf numFmtId="164" fontId="11" fillId="4" borderId="0" xfId="0" applyFont="true" applyBorder="false" applyAlignment="false" applyProtection="false">
      <alignment horizontal="general" vertical="bottom" textRotation="0" wrapText="false" indent="0" shrinkToFit="false"/>
      <protection locked="true" hidden="false"/>
    </xf>
    <xf numFmtId="164" fontId="9" fillId="8" borderId="1" xfId="0" applyFont="true" applyBorder="true" applyAlignment="false" applyProtection="false">
      <alignment horizontal="general" vertical="bottom" textRotation="0" wrapText="false" indent="0" shrinkToFit="false"/>
      <protection locked="true" hidden="false"/>
    </xf>
    <xf numFmtId="165" fontId="9" fillId="8" borderId="1" xfId="0" applyFont="true" applyBorder="true" applyAlignment="false" applyProtection="false">
      <alignment horizontal="general" vertical="bottom" textRotation="0" wrapText="false" indent="0" shrinkToFit="false"/>
      <protection locked="true" hidden="false"/>
    </xf>
    <xf numFmtId="167" fontId="9" fillId="8"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9" fontId="7" fillId="3" borderId="1" xfId="0" applyFont="true" applyBorder="true" applyAlignment="false" applyProtection="false">
      <alignment horizontal="general" vertical="bottom" textRotation="0" wrapText="false" indent="0" shrinkToFit="false"/>
      <protection locked="true" hidden="false"/>
    </xf>
    <xf numFmtId="169" fontId="10"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74" fontId="8"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74" fontId="5"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74" fontId="0" fillId="0" borderId="1" xfId="0" applyFont="false" applyBorder="true" applyAlignment="false" applyProtection="false">
      <alignment horizontal="general" vertical="bottom" textRotation="0" wrapText="false" indent="0" shrinkToFit="false"/>
      <protection locked="true" hidden="false"/>
    </xf>
    <xf numFmtId="164" fontId="11" fillId="4"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
      <fill>
        <patternFill patternType="solid">
          <fgColor rgb="FF0000FF"/>
          <bgColor rgb="FF000000"/>
        </patternFill>
      </fill>
    </dxf>
    <dxf>
      <fill>
        <patternFill patternType="solid">
          <fgColor rgb="FF595959"/>
          <bgColor rgb="FF000000"/>
        </patternFill>
      </fill>
    </dxf>
    <dxf>
      <fill>
        <patternFill patternType="solid">
          <fgColor rgb="FFFFFF00"/>
          <bgColor rgb="FF000000"/>
        </patternFill>
      </fill>
    </dxf>
    <dxf>
      <fill>
        <patternFill patternType="solid">
          <fgColor rgb="FF000000"/>
          <bgColor rgb="FF000000"/>
        </patternFill>
      </fill>
    </dxf>
    <dxf>
      <fill>
        <patternFill patternType="solid">
          <fgColor rgb="FF008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4"/>
    <col collapsed="false" customWidth="true" hidden="false" outlineLevel="0" max="3" min="3" style="0" width="96"/>
  </cols>
  <sheetData>
    <row r="1" customFormat="false" ht="17.35" hidden="false" customHeight="false" outlineLevel="0" collapsed="false">
      <c r="B1" s="1" t="s">
        <v>0</v>
      </c>
    </row>
    <row r="2" customFormat="false" ht="15" hidden="false" customHeight="false" outlineLevel="0" collapsed="false">
      <c r="B2" s="2" t="s">
        <v>1</v>
      </c>
    </row>
    <row r="4" customFormat="false" ht="15" hidden="false" customHeight="false" outlineLevel="0" collapsed="false">
      <c r="B4" s="3" t="s">
        <v>2</v>
      </c>
      <c r="C4" s="4"/>
    </row>
    <row r="5" customFormat="false" ht="30" hidden="false" customHeight="true" outlineLevel="0" collapsed="false">
      <c r="B5" s="5" t="s">
        <v>3</v>
      </c>
      <c r="C5" s="6" t="s">
        <v>4</v>
      </c>
    </row>
    <row r="6" customFormat="false" ht="30" hidden="false" customHeight="true" outlineLevel="0" collapsed="false">
      <c r="B6" s="5" t="s">
        <v>5</v>
      </c>
      <c r="C6" s="6" t="s">
        <v>6</v>
      </c>
    </row>
    <row r="7" customFormat="false" ht="30" hidden="false" customHeight="true" outlineLevel="0" collapsed="false">
      <c r="B7" s="5" t="s">
        <v>7</v>
      </c>
      <c r="C7" s="6" t="s">
        <v>8</v>
      </c>
    </row>
    <row r="8" customFormat="false" ht="30" hidden="false" customHeight="true" outlineLevel="0" collapsed="false">
      <c r="B8" s="5" t="s">
        <v>9</v>
      </c>
      <c r="C8" s="6" t="s">
        <v>10</v>
      </c>
    </row>
    <row r="9" customFormat="false" ht="30" hidden="false" customHeight="true" outlineLevel="0" collapsed="false">
      <c r="B9" s="5" t="s">
        <v>11</v>
      </c>
      <c r="C9" s="6" t="s">
        <v>12</v>
      </c>
    </row>
    <row r="10" customFormat="false" ht="30" hidden="false" customHeight="true" outlineLevel="0" collapsed="false">
      <c r="B10" s="5" t="s">
        <v>13</v>
      </c>
      <c r="C10" s="6" t="s">
        <v>14</v>
      </c>
    </row>
    <row r="12" customFormat="false" ht="15" hidden="false" customHeight="false" outlineLevel="0" collapsed="false">
      <c r="B12" s="3" t="s">
        <v>15</v>
      </c>
      <c r="C12" s="4"/>
    </row>
    <row r="13" customFormat="false" ht="15" hidden="false" customHeight="false" outlineLevel="0" collapsed="false">
      <c r="B13" s="7" t="s">
        <v>16</v>
      </c>
      <c r="C13" s="6" t="s">
        <v>17</v>
      </c>
    </row>
    <row r="14" customFormat="false" ht="15" hidden="false" customHeight="false" outlineLevel="0" collapsed="false">
      <c r="B14" s="8" t="s">
        <v>18</v>
      </c>
      <c r="C14" s="6" t="s">
        <v>19</v>
      </c>
    </row>
    <row r="15" customFormat="false" ht="15" hidden="false" customHeight="false" outlineLevel="0" collapsed="false">
      <c r="B15" s="9" t="s">
        <v>20</v>
      </c>
      <c r="C15" s="6" t="s">
        <v>21</v>
      </c>
    </row>
    <row r="16" customFormat="false" ht="15" hidden="false" customHeight="false" outlineLevel="0" collapsed="false">
      <c r="B16" s="10" t="s">
        <v>22</v>
      </c>
      <c r="C16" s="6" t="s">
        <v>23</v>
      </c>
    </row>
    <row r="18" customFormat="false" ht="15" hidden="false" customHeight="false" outlineLevel="0" collapsed="false">
      <c r="B18" s="11" t="s">
        <v>24</v>
      </c>
      <c r="C18" s="12"/>
    </row>
    <row r="19" customFormat="false" ht="42" hidden="false" customHeight="true" outlineLevel="0" collapsed="false">
      <c r="C19" s="6" t="s">
        <v>25</v>
      </c>
    </row>
    <row r="20" customFormat="false" ht="42" hidden="false" customHeight="true" outlineLevel="0" collapsed="false">
      <c r="C20" s="6" t="s">
        <v>26</v>
      </c>
    </row>
    <row r="21" customFormat="false" ht="42" hidden="false" customHeight="true" outlineLevel="0" collapsed="false">
      <c r="C21" s="6" t="s">
        <v>27</v>
      </c>
    </row>
    <row r="22" customFormat="false" ht="42" hidden="false" customHeight="true" outlineLevel="0" collapsed="false">
      <c r="C22" s="6" t="s">
        <v>28</v>
      </c>
    </row>
    <row r="23" customFormat="false" ht="42" hidden="false" customHeight="true" outlineLevel="0" collapsed="false">
      <c r="C23" s="6" t="s">
        <v>29</v>
      </c>
    </row>
    <row r="25" customFormat="false" ht="15" hidden="false" customHeight="false" outlineLevel="0" collapsed="false">
      <c r="B25" s="3" t="s">
        <v>30</v>
      </c>
      <c r="C25" s="4"/>
    </row>
    <row r="26" customFormat="false" ht="27.75" hidden="false" customHeight="true" outlineLevel="0" collapsed="false">
      <c r="C26" s="6" t="s">
        <v>31</v>
      </c>
    </row>
    <row r="27" customFormat="false" ht="27.75" hidden="false" customHeight="true" outlineLevel="0" collapsed="false">
      <c r="C27" s="6" t="s">
        <v>32</v>
      </c>
    </row>
    <row r="28" customFormat="false" ht="27.75" hidden="false" customHeight="true" outlineLevel="0" collapsed="false">
      <c r="C28" s="6" t="s">
        <v>33</v>
      </c>
    </row>
    <row r="29" customFormat="false" ht="27.75" hidden="false" customHeight="true" outlineLevel="0" collapsed="false">
      <c r="C29" s="6" t="s">
        <v>34</v>
      </c>
    </row>
    <row r="30" customFormat="false" ht="27.75" hidden="false" customHeight="true" outlineLevel="0" collapsed="false">
      <c r="C30" s="6"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2"/>
    <col collapsed="false" customWidth="true" hidden="false" outlineLevel="0" max="3" min="3" style="0" width="16"/>
    <col collapsed="false" customWidth="true" hidden="false" outlineLevel="0" max="4" min="4" style="0" width="62"/>
  </cols>
  <sheetData>
    <row r="1" customFormat="false" ht="17.35" hidden="false" customHeight="false" outlineLevel="0" collapsed="false">
      <c r="B1" s="1" t="s">
        <v>36</v>
      </c>
    </row>
    <row r="2" customFormat="false" ht="15" hidden="false" customHeight="false" outlineLevel="0" collapsed="false">
      <c r="B2" s="2" t="s">
        <v>37</v>
      </c>
    </row>
    <row r="4" customFormat="false" ht="15" hidden="false" customHeight="true" outlineLevel="0" collapsed="false">
      <c r="B4" s="3" t="s">
        <v>38</v>
      </c>
      <c r="C4" s="4"/>
      <c r="D4" s="4"/>
    </row>
    <row r="5" customFormat="false" ht="15" hidden="false" customHeight="true" outlineLevel="0" collapsed="false">
      <c r="B5" s="8" t="s">
        <v>39</v>
      </c>
      <c r="C5" s="13" t="n">
        <v>55000</v>
      </c>
      <c r="D5" s="14" t="s">
        <v>40</v>
      </c>
    </row>
    <row r="6" customFormat="false" ht="15" hidden="false" customHeight="true" outlineLevel="0" collapsed="false">
      <c r="B6" s="8" t="s">
        <v>41</v>
      </c>
      <c r="C6" s="13" t="n">
        <v>40000</v>
      </c>
      <c r="D6" s="14" t="s">
        <v>42</v>
      </c>
    </row>
    <row r="7" customFormat="false" ht="15" hidden="false" customHeight="true" outlineLevel="0" collapsed="false">
      <c r="B7" s="8" t="s">
        <v>43</v>
      </c>
      <c r="C7" s="13" t="n">
        <v>180000</v>
      </c>
      <c r="D7" s="14" t="s">
        <v>44</v>
      </c>
    </row>
    <row r="8" customFormat="false" ht="15" hidden="false" customHeight="true" outlineLevel="0" collapsed="false">
      <c r="B8" s="8" t="s">
        <v>45</v>
      </c>
      <c r="C8" s="15" t="n">
        <f aca="false">C7-C6</f>
        <v>140000</v>
      </c>
      <c r="D8" s="14"/>
    </row>
    <row r="9" customFormat="false" ht="15" hidden="false" customHeight="true" outlineLevel="0" collapsed="false">
      <c r="B9" s="8" t="s">
        <v>46</v>
      </c>
      <c r="C9" s="16" t="n">
        <f aca="false">IFERROR(C8/C5,0)</f>
        <v>2.54545454545455</v>
      </c>
      <c r="D9" s="14"/>
    </row>
    <row r="10" customFormat="false" ht="15" hidden="false" customHeight="true" outlineLevel="0" collapsed="false">
      <c r="B10" s="8" t="s">
        <v>47</v>
      </c>
      <c r="C10" s="16" t="n">
        <f aca="false">C9*12</f>
        <v>30.5454545454545</v>
      </c>
      <c r="D10" s="14"/>
    </row>
    <row r="11" customFormat="false" ht="15" hidden="false" customHeight="true" outlineLevel="0" collapsed="false"/>
    <row r="12" customFormat="false" ht="15" hidden="false" customHeight="true" outlineLevel="0" collapsed="false">
      <c r="B12" s="3" t="s">
        <v>48</v>
      </c>
      <c r="C12" s="4"/>
      <c r="D12" s="4"/>
    </row>
    <row r="13" customFormat="false" ht="15" hidden="false" customHeight="true" outlineLevel="0" collapsed="false">
      <c r="B13" s="8" t="s">
        <v>49</v>
      </c>
      <c r="C13" s="17" t="n">
        <v>3.55</v>
      </c>
      <c r="D13" s="14" t="s">
        <v>50</v>
      </c>
    </row>
    <row r="14" customFormat="false" ht="15" hidden="false" customHeight="true" outlineLevel="0" collapsed="false">
      <c r="B14" s="8" t="s">
        <v>51</v>
      </c>
      <c r="C14" s="17" t="n">
        <v>5.35</v>
      </c>
      <c r="D14" s="14" t="s">
        <v>52</v>
      </c>
    </row>
    <row r="15" customFormat="false" ht="15" hidden="false" customHeight="true" outlineLevel="0" collapsed="false">
      <c r="B15" s="8" t="s">
        <v>53</v>
      </c>
      <c r="C15" s="18" t="n">
        <v>900</v>
      </c>
      <c r="D15" s="14" t="s">
        <v>54</v>
      </c>
    </row>
    <row r="16" customFormat="false" ht="15" hidden="false" customHeight="true" outlineLevel="0" collapsed="false">
      <c r="B16" s="8" t="s">
        <v>55</v>
      </c>
      <c r="C16" s="18" t="n">
        <v>1300</v>
      </c>
      <c r="D16" s="14" t="s">
        <v>56</v>
      </c>
    </row>
    <row r="17" customFormat="false" ht="15" hidden="false" customHeight="true" outlineLevel="0" collapsed="false">
      <c r="B17" s="8" t="s">
        <v>57</v>
      </c>
      <c r="C17" s="19" t="n">
        <v>55000</v>
      </c>
      <c r="D17" s="14" t="s">
        <v>58</v>
      </c>
    </row>
    <row r="18" customFormat="false" ht="15" hidden="false" customHeight="true" outlineLevel="0" collapsed="false">
      <c r="B18" s="8" t="s">
        <v>59</v>
      </c>
      <c r="C18" s="20" t="n">
        <v>0.08</v>
      </c>
      <c r="D18" s="14" t="s">
        <v>60</v>
      </c>
    </row>
    <row r="19" customFormat="false" ht="15" hidden="false" customHeight="true" outlineLevel="0" collapsed="false">
      <c r="B19" s="8" t="s">
        <v>61</v>
      </c>
      <c r="C19" s="18" t="n">
        <v>1600</v>
      </c>
      <c r="D19" s="14" t="s">
        <v>62</v>
      </c>
    </row>
    <row r="20" customFormat="false" ht="15" hidden="false" customHeight="true" outlineLevel="0" collapsed="false">
      <c r="B20" s="8" t="s">
        <v>63</v>
      </c>
      <c r="C20" s="18" t="n">
        <v>450</v>
      </c>
      <c r="D20" s="14" t="s">
        <v>64</v>
      </c>
    </row>
    <row r="21" customFormat="false" ht="15" hidden="false" customHeight="true" outlineLevel="0" collapsed="false"/>
    <row r="22" customFormat="false" ht="15" hidden="false" customHeight="true" outlineLevel="0" collapsed="false">
      <c r="B22" s="3" t="s">
        <v>65</v>
      </c>
      <c r="C22" s="4"/>
      <c r="D22" s="4"/>
    </row>
    <row r="23" customFormat="false" ht="15" hidden="false" customHeight="true" outlineLevel="0" collapsed="false">
      <c r="B23" s="8" t="s">
        <v>66</v>
      </c>
      <c r="C23" s="21" t="n">
        <v>0.03</v>
      </c>
      <c r="D23" s="14" t="s">
        <v>67</v>
      </c>
    </row>
    <row r="24" customFormat="false" ht="15" hidden="false" customHeight="true" outlineLevel="0" collapsed="false">
      <c r="B24" s="8" t="s">
        <v>68</v>
      </c>
      <c r="C24" s="21" t="n">
        <v>0.06</v>
      </c>
      <c r="D24" s="14" t="s">
        <v>69</v>
      </c>
    </row>
    <row r="25" customFormat="false" ht="15" hidden="false" customHeight="true" outlineLevel="0" collapsed="false">
      <c r="B25" s="8" t="s">
        <v>70</v>
      </c>
      <c r="C25" s="21" t="n">
        <v>0.1</v>
      </c>
      <c r="D25" s="14" t="s">
        <v>71</v>
      </c>
    </row>
    <row r="26" customFormat="false" ht="15" hidden="false" customHeight="true" outlineLevel="0" collapsed="false">
      <c r="B26" s="8" t="s">
        <v>72</v>
      </c>
      <c r="C26" s="15" t="n">
        <f aca="false">MAX(0,MIN(C7,100000)-C6)</f>
        <v>60000</v>
      </c>
      <c r="D26" s="14"/>
    </row>
    <row r="27" customFormat="false" ht="15" hidden="false" customHeight="true" outlineLevel="0" collapsed="false">
      <c r="B27" s="8" t="s">
        <v>73</v>
      </c>
      <c r="C27" s="15" t="n">
        <f aca="false">MAX(0,MIN(C7,150000)-MAX(C6,100000))</f>
        <v>50000</v>
      </c>
      <c r="D27" s="14"/>
    </row>
    <row r="28" customFormat="false" ht="15" hidden="false" customHeight="true" outlineLevel="0" collapsed="false">
      <c r="B28" s="8" t="s">
        <v>74</v>
      </c>
      <c r="C28" s="15" t="n">
        <f aca="false">MAX(0,C7-MAX(C6,150000))</f>
        <v>30000</v>
      </c>
      <c r="D28" s="14"/>
    </row>
    <row r="29" customFormat="false" ht="15" hidden="false" customHeight="true" outlineLevel="0" collapsed="false">
      <c r="B29" s="8" t="s">
        <v>75</v>
      </c>
      <c r="C29" s="22" t="n">
        <f aca="false">IFERROR((C26*C23+C27*C24+C28*C25)/C8,0)</f>
        <v>0.0557142857142857</v>
      </c>
      <c r="D29" s="14" t="s">
        <v>76</v>
      </c>
    </row>
    <row r="30" customFormat="false" ht="15" hidden="false" customHeight="true" outlineLevel="0" collapsed="false"/>
    <row r="31" customFormat="false" ht="15" hidden="false" customHeight="true" outlineLevel="0" collapsed="false">
      <c r="B31" s="3" t="s">
        <v>77</v>
      </c>
      <c r="C31" s="4"/>
      <c r="D31" s="4"/>
    </row>
    <row r="32" customFormat="false" ht="15" hidden="false" customHeight="true" outlineLevel="0" collapsed="false">
      <c r="B32" s="8" t="s">
        <v>78</v>
      </c>
      <c r="C32" s="23" t="s">
        <v>79</v>
      </c>
      <c r="D32" s="14" t="s">
        <v>80</v>
      </c>
    </row>
    <row r="33" customFormat="false" ht="15" hidden="false" customHeight="true" outlineLevel="0" collapsed="false">
      <c r="B33" s="8" t="s">
        <v>81</v>
      </c>
      <c r="C33" s="24" t="n">
        <v>0.045</v>
      </c>
      <c r="D33" s="14" t="s">
        <v>82</v>
      </c>
    </row>
    <row r="34" customFormat="false" ht="15" hidden="false" customHeight="true" outlineLevel="0" collapsed="false">
      <c r="B34" s="8" t="s">
        <v>83</v>
      </c>
      <c r="C34" s="24" t="n">
        <v>0.065</v>
      </c>
      <c r="D34" s="14" t="s">
        <v>84</v>
      </c>
    </row>
    <row r="35" customFormat="false" ht="15" hidden="false" customHeight="true" outlineLevel="0" collapsed="false">
      <c r="B35" s="8" t="s">
        <v>85</v>
      </c>
      <c r="C35" s="24" t="n">
        <v>0.2</v>
      </c>
      <c r="D35" s="14"/>
    </row>
    <row r="36" customFormat="false" ht="15" hidden="false" customHeight="true" outlineLevel="0" collapsed="false">
      <c r="B36" s="8" t="s">
        <v>86</v>
      </c>
      <c r="C36" s="25" t="n">
        <v>0.55</v>
      </c>
      <c r="D36" s="14" t="s">
        <v>87</v>
      </c>
    </row>
    <row r="37" customFormat="false" ht="15" hidden="false" customHeight="true" outlineLevel="0" collapsed="false"/>
    <row r="38" customFormat="false" ht="15" hidden="false" customHeight="true" outlineLevel="0" collapsed="false">
      <c r="B38" s="3" t="s">
        <v>88</v>
      </c>
      <c r="C38" s="4"/>
      <c r="D38" s="4"/>
    </row>
    <row r="39" customFormat="false" ht="15" hidden="false" customHeight="true" outlineLevel="0" collapsed="false">
      <c r="B39" s="8" t="s">
        <v>89</v>
      </c>
      <c r="C39" s="23" t="s">
        <v>90</v>
      </c>
      <c r="D39" s="14" t="s">
        <v>91</v>
      </c>
    </row>
    <row r="40" customFormat="false" ht="15" hidden="false" customHeight="true" outlineLevel="0" collapsed="false">
      <c r="B40" s="8" t="s">
        <v>92</v>
      </c>
      <c r="C40" s="24" t="n">
        <v>0.9</v>
      </c>
      <c r="D40" s="14" t="s">
        <v>93</v>
      </c>
    </row>
    <row r="41" customFormat="false" ht="15" hidden="false" customHeight="true" outlineLevel="0" collapsed="false">
      <c r="B41" s="8" t="s">
        <v>94</v>
      </c>
      <c r="C41" s="26" t="n">
        <v>0.74</v>
      </c>
      <c r="D41" s="14" t="s">
        <v>95</v>
      </c>
    </row>
    <row r="42" customFormat="false" ht="15" hidden="false" customHeight="true" outlineLevel="0" collapsed="false">
      <c r="B42" s="8" t="s">
        <v>96</v>
      </c>
      <c r="C42" s="24" t="n">
        <v>0.24</v>
      </c>
      <c r="D42" s="14"/>
    </row>
    <row r="43" customFormat="false" ht="15" hidden="false" customHeight="true" outlineLevel="0" collapsed="false">
      <c r="B43" s="8" t="s">
        <v>97</v>
      </c>
      <c r="C43" s="24" t="n">
        <v>0.1413</v>
      </c>
      <c r="D43" s="14" t="s">
        <v>98</v>
      </c>
    </row>
    <row r="44" customFormat="false" ht="15" hidden="false" customHeight="true" outlineLevel="0" collapsed="false">
      <c r="B44" s="8" t="s">
        <v>99</v>
      </c>
      <c r="C44" s="24" t="n">
        <v>0.0305</v>
      </c>
      <c r="D44" s="14"/>
    </row>
    <row r="45" customFormat="false" ht="15" hidden="false" customHeight="true" outlineLevel="0" collapsed="false">
      <c r="B45" s="8" t="s">
        <v>100</v>
      </c>
      <c r="C45" s="27" t="n">
        <f aca="false">IF(C39="Self-employed",C42+C43+C44,0)</f>
        <v>0.4118</v>
      </c>
      <c r="D45" s="14" t="s">
        <v>101</v>
      </c>
    </row>
    <row r="46" customFormat="false" ht="15" hidden="false" customHeight="true" outlineLevel="0" collapsed="false">
      <c r="B46" s="8" t="s">
        <v>102</v>
      </c>
      <c r="C46" s="24" t="n">
        <v>0.07</v>
      </c>
      <c r="D46" s="14" t="s">
        <v>103</v>
      </c>
    </row>
    <row r="47" customFormat="false" ht="15" hidden="false" customHeight="true" outlineLevel="0" collapsed="false"/>
    <row r="48" customFormat="false" ht="15" hidden="false" customHeight="true" outlineLevel="0" collapsed="false">
      <c r="B48" s="3" t="s">
        <v>104</v>
      </c>
      <c r="C48" s="4"/>
      <c r="D48" s="4"/>
    </row>
    <row r="49" customFormat="false" ht="15" hidden="false" customHeight="true" outlineLevel="0" collapsed="false">
      <c r="B49" s="8" t="s">
        <v>105</v>
      </c>
      <c r="C49" s="24" t="n">
        <v>1</v>
      </c>
      <c r="D49" s="14" t="s">
        <v>106</v>
      </c>
    </row>
    <row r="50" customFormat="false" ht="15" hidden="false" customHeight="true" outlineLevel="0" collapsed="false">
      <c r="B50" s="8" t="s">
        <v>107</v>
      </c>
      <c r="C50" s="18" t="n">
        <v>31300</v>
      </c>
      <c r="D50" s="14" t="s">
        <v>108</v>
      </c>
    </row>
    <row r="51" customFormat="false" ht="15" hidden="false" customHeight="true" outlineLevel="0" collapsed="false">
      <c r="B51" s="8" t="s">
        <v>109</v>
      </c>
      <c r="C51" s="18" t="n">
        <v>20300</v>
      </c>
      <c r="D51" s="14" t="s">
        <v>110</v>
      </c>
    </row>
    <row r="53" customFormat="false" ht="15" hidden="false" customHeight="false" outlineLevel="0" collapsed="false">
      <c r="B53" s="3" t="s">
        <v>111</v>
      </c>
      <c r="C53" s="4"/>
      <c r="D53" s="4"/>
    </row>
    <row r="54" customFormat="false" ht="22.35" hidden="false" customHeight="false" outlineLevel="0" collapsed="false">
      <c r="B54" s="8" t="s">
        <v>112</v>
      </c>
      <c r="C54" s="28" t="n">
        <v>0.418</v>
      </c>
      <c r="D54" s="14" t="s">
        <v>113</v>
      </c>
    </row>
  </sheetData>
  <dataValidations count="2">
    <dataValidation allowBlank="false" errorStyle="stop" operator="between" showDropDown="false" showErrorMessage="false" showInputMessage="false" sqref="C32" type="list">
      <formula1>"Cash,Finance"</formula1>
      <formula2>0</formula2>
    </dataValidation>
    <dataValidation allowBlank="false" errorStyle="stop" operator="between" showDropDown="false" showErrorMessage="false" showInputMessage="false" sqref="C39" type="list">
      <formula1>"W-2,Self-employed"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3" min="2" style="0" width="22"/>
    <col collapsed="false" customWidth="true" hidden="false" outlineLevel="0" max="4" min="4" style="0" width="20"/>
    <col collapsed="false" customWidth="true" hidden="false" outlineLevel="0" max="5" min="5" style="0" width="24"/>
    <col collapsed="false" customWidth="true" hidden="false" outlineLevel="0" max="6" min="6" style="0" width="70"/>
  </cols>
  <sheetData>
    <row r="1" customFormat="false" ht="17.35" hidden="false" customHeight="false" outlineLevel="0" collapsed="false">
      <c r="B1" s="1" t="s">
        <v>114</v>
      </c>
    </row>
    <row r="2" customFormat="false" ht="15" hidden="false" customHeight="false" outlineLevel="0" collapsed="false">
      <c r="B2" s="2" t="s">
        <v>115</v>
      </c>
    </row>
    <row r="4" customFormat="false" ht="26.85" hidden="false" customHeight="false" outlineLevel="0" collapsed="false">
      <c r="B4" s="29" t="s">
        <v>116</v>
      </c>
      <c r="C4" s="29" t="s">
        <v>117</v>
      </c>
      <c r="D4" s="29" t="s">
        <v>118</v>
      </c>
      <c r="E4" s="29" t="s">
        <v>119</v>
      </c>
    </row>
    <row r="5" customFormat="false" ht="15" hidden="false" customHeight="false" outlineLevel="0" collapsed="false">
      <c r="B5" s="19" t="n">
        <v>0</v>
      </c>
      <c r="C5" s="18" t="n">
        <v>35000</v>
      </c>
      <c r="D5" s="30" t="n">
        <f aca="false">C5/$C$5</f>
        <v>1</v>
      </c>
    </row>
    <row r="6" customFormat="false" ht="15" hidden="false" customHeight="false" outlineLevel="0" collapsed="false">
      <c r="B6" s="19" t="n">
        <v>10000</v>
      </c>
      <c r="C6" s="18" t="n">
        <v>33900</v>
      </c>
      <c r="D6" s="30" t="n">
        <f aca="false">C6/$C$5</f>
        <v>0.968571428571429</v>
      </c>
      <c r="E6" s="31" t="n">
        <f aca="false">IFERROR((C5-C6)/((B6-B5)/1000),0)</f>
        <v>110</v>
      </c>
    </row>
    <row r="7" customFormat="false" ht="15" hidden="false" customHeight="false" outlineLevel="0" collapsed="false">
      <c r="B7" s="19" t="n">
        <v>25000</v>
      </c>
      <c r="C7" s="18" t="n">
        <v>33480</v>
      </c>
      <c r="D7" s="30" t="n">
        <f aca="false">C7/$C$5</f>
        <v>0.956571428571429</v>
      </c>
      <c r="E7" s="31" t="n">
        <f aca="false">IFERROR((C6-C7)/((B7-B6)/1000),0)</f>
        <v>28</v>
      </c>
    </row>
    <row r="8" customFormat="false" ht="15" hidden="false" customHeight="false" outlineLevel="0" collapsed="false">
      <c r="B8" s="19" t="n">
        <v>50000</v>
      </c>
      <c r="C8" s="18" t="n">
        <v>26000</v>
      </c>
      <c r="D8" s="30" t="n">
        <f aca="false">C8/$C$5</f>
        <v>0.742857142857143</v>
      </c>
      <c r="E8" s="31" t="n">
        <f aca="false">IFERROR((C7-C8)/((B8-B7)/1000),0)</f>
        <v>299.2</v>
      </c>
    </row>
    <row r="9" customFormat="false" ht="15" hidden="false" customHeight="false" outlineLevel="0" collapsed="false">
      <c r="B9" s="19" t="n">
        <v>75000</v>
      </c>
      <c r="C9" s="18" t="n">
        <v>18995</v>
      </c>
      <c r="D9" s="30" t="n">
        <f aca="false">C9/$C$5</f>
        <v>0.542714285714286</v>
      </c>
      <c r="E9" s="31" t="n">
        <f aca="false">IFERROR((C8-C9)/((B9-B8)/1000),0)</f>
        <v>280.2</v>
      </c>
    </row>
    <row r="10" customFormat="false" ht="15" hidden="false" customHeight="false" outlineLevel="0" collapsed="false">
      <c r="B10" s="19" t="n">
        <v>100000</v>
      </c>
      <c r="C10" s="18" t="n">
        <v>14500</v>
      </c>
      <c r="D10" s="30" t="n">
        <f aca="false">C10/$C$5</f>
        <v>0.414285714285714</v>
      </c>
      <c r="E10" s="31" t="n">
        <f aca="false">IFERROR((C9-C10)/((B10-B9)/1000),0)</f>
        <v>179.8</v>
      </c>
    </row>
    <row r="11" customFormat="false" ht="15" hidden="false" customHeight="false" outlineLevel="0" collapsed="false">
      <c r="B11" s="19" t="n">
        <v>125000</v>
      </c>
      <c r="C11" s="18" t="n">
        <v>10950</v>
      </c>
      <c r="D11" s="30" t="n">
        <f aca="false">C11/$C$5</f>
        <v>0.312857142857143</v>
      </c>
      <c r="E11" s="31" t="n">
        <f aca="false">IFERROR((C10-C11)/((B11-B10)/1000),0)</f>
        <v>142</v>
      </c>
    </row>
    <row r="12" customFormat="false" ht="15" hidden="false" customHeight="false" outlineLevel="0" collapsed="false">
      <c r="B12" s="19" t="n">
        <v>150000</v>
      </c>
      <c r="C12" s="18" t="n">
        <v>8900</v>
      </c>
      <c r="D12" s="30" t="n">
        <f aca="false">C12/$C$5</f>
        <v>0.254285714285714</v>
      </c>
      <c r="E12" s="31" t="n">
        <f aca="false">IFERROR((C11-C12)/((B12-B11)/1000),0)</f>
        <v>82</v>
      </c>
    </row>
    <row r="13" customFormat="false" ht="15" hidden="false" customHeight="false" outlineLevel="0" collapsed="false">
      <c r="B13" s="19" t="n">
        <v>200000</v>
      </c>
      <c r="C13" s="18" t="n">
        <v>6450</v>
      </c>
      <c r="D13" s="30" t="n">
        <f aca="false">C13/$C$5</f>
        <v>0.184285714285714</v>
      </c>
      <c r="E13" s="31" t="n">
        <f aca="false">IFERROR((C12-C13)/((B13-B12)/1000),0)</f>
        <v>49</v>
      </c>
    </row>
    <row r="14" customFormat="false" ht="15" hidden="false" customHeight="false" outlineLevel="0" collapsed="false">
      <c r="B14" s="19" t="n">
        <v>250000</v>
      </c>
      <c r="C14" s="18" t="n">
        <v>4500</v>
      </c>
      <c r="D14" s="30" t="n">
        <f aca="false">C14/$C$5</f>
        <v>0.128571428571429</v>
      </c>
      <c r="E14" s="31" t="n">
        <f aca="false">IFERROR((C13-C14)/((B14-B13)/1000),0)</f>
        <v>39</v>
      </c>
    </row>
    <row r="15" customFormat="false" ht="15" hidden="false" customHeight="false" outlineLevel="0" collapsed="false">
      <c r="B15" s="32" t="s">
        <v>120</v>
      </c>
      <c r="C15" s="32"/>
      <c r="D15" s="32"/>
      <c r="E15" s="32"/>
      <c r="F15" s="32"/>
    </row>
    <row r="18" customFormat="false" ht="15" hidden="false" customHeight="false" outlineLevel="0" collapsed="false">
      <c r="B18" s="3" t="s">
        <v>121</v>
      </c>
      <c r="C18" s="4"/>
      <c r="D18" s="4"/>
      <c r="E18" s="4"/>
      <c r="F18" s="4"/>
    </row>
    <row r="19" customFormat="false" ht="15" hidden="false" customHeight="true" outlineLevel="0" collapsed="false">
      <c r="B19" s="8" t="s">
        <v>122</v>
      </c>
      <c r="C19" s="33" t="n">
        <f aca="false">Inputs!$C$6</f>
        <v>40000</v>
      </c>
      <c r="D19" s="34" t="s">
        <v>123</v>
      </c>
      <c r="E19" s="34"/>
      <c r="F19" s="34"/>
    </row>
    <row r="20" customFormat="false" ht="15" hidden="false" customHeight="true" outlineLevel="0" collapsed="false">
      <c r="B20" s="8" t="s">
        <v>124</v>
      </c>
      <c r="C20" s="33" t="n">
        <f aca="false">Inputs!$C$7</f>
        <v>180000</v>
      </c>
      <c r="D20" s="34" t="s">
        <v>123</v>
      </c>
      <c r="E20" s="34"/>
      <c r="F20" s="34"/>
    </row>
    <row r="21" customFormat="false" ht="15" hidden="false" customHeight="true" outlineLevel="0" collapsed="false">
      <c r="B21" s="8" t="s">
        <v>125</v>
      </c>
      <c r="C21" s="30" t="n">
        <f aca="false">IFERROR(INDEX($D$5:$D$14,MATCH($C$19,$B$5:$B$14,1))+($C$19-INDEX($B$5:$B$14,MATCH($C$19,$B$5:$B$14,1)))/(INDEX($B$5:$B$14,MATCH($C$19,$B$5:$B$14,1)+1)-INDEX($B$5:$B$14,MATCH($C$19,$B$5:$B$14,1)))*(INDEX($D$5:$D$14,MATCH($C$19,$B$5:$B$14,1)+1)-INDEX($D$5:$D$14,MATCH($C$19,$B$5:$B$14,1))),INDEX($D$5:$D$14,MATCH($C$19,$B$5:$B$14,1)))</f>
        <v>0.828342857142857</v>
      </c>
      <c r="D21" s="34" t="s">
        <v>126</v>
      </c>
      <c r="E21" s="34"/>
      <c r="F21" s="34"/>
    </row>
    <row r="22" customFormat="false" ht="15" hidden="false" customHeight="true" outlineLevel="0" collapsed="false">
      <c r="B22" s="8" t="s">
        <v>127</v>
      </c>
      <c r="C22" s="30" t="n">
        <f aca="false">IFERROR(INDEX($D$5:$D$14,MATCH($C$20,$B$5:$B$14,1))+($C$20-INDEX($B$5:$B$14,MATCH($C$20,$B$5:$B$14,1)))/(INDEX($B$5:$B$14,MATCH($C$20,$B$5:$B$14,1)+1)-INDEX($B$5:$B$14,MATCH($C$20,$B$5:$B$14,1)))*(INDEX($D$5:$D$14,MATCH($C$20,$B$5:$B$14,1)+1)-INDEX($D$5:$D$14,MATCH($C$20,$B$5:$B$14,1))),INDEX($D$5:$D$14,MATCH($C$20,$B$5:$B$14,1)))</f>
        <v>0.212285714285714</v>
      </c>
      <c r="D22" s="34" t="s">
        <v>126</v>
      </c>
      <c r="E22" s="34"/>
      <c r="F22" s="34"/>
    </row>
    <row r="23" customFormat="false" ht="22.35" hidden="false" customHeight="true" outlineLevel="0" collapsed="false">
      <c r="B23" s="8" t="s">
        <v>128</v>
      </c>
      <c r="C23" s="30" t="n">
        <f aca="false">IFERROR(C22/C21,0)</f>
        <v>0.256277593818985</v>
      </c>
      <c r="D23" s="34" t="s">
        <v>129</v>
      </c>
      <c r="E23" s="34"/>
      <c r="F23" s="34"/>
    </row>
    <row r="25" customFormat="false" ht="15" hidden="false" customHeight="false" outlineLevel="0" collapsed="false">
      <c r="B25" s="3" t="s">
        <v>130</v>
      </c>
      <c r="C25" s="4"/>
      <c r="D25" s="4"/>
      <c r="E25" s="4"/>
      <c r="F25" s="4"/>
    </row>
    <row r="26" customFormat="false" ht="15" hidden="false" customHeight="false" outlineLevel="0" collapsed="false">
      <c r="B26" s="8" t="s">
        <v>131</v>
      </c>
      <c r="C26" s="19" t="n">
        <v>120000</v>
      </c>
    </row>
    <row r="27" customFormat="false" ht="15" hidden="false" customHeight="false" outlineLevel="0" collapsed="false">
      <c r="B27" s="8" t="s">
        <v>132</v>
      </c>
      <c r="C27" s="30" t="n">
        <f aca="false">IFERROR(INDEX($D$5:$D$14,MATCH($C$26,$B$5:$B$14,1))+($C$26-INDEX($B$5:$B$14,MATCH($C$26,$B$5:$B$14,1)))/(INDEX($B$5:$B$14,MATCH($C$26,$B$5:$B$14,1)+1)-INDEX($B$5:$B$14,MATCH($C$26,$B$5:$B$14,1)))*(INDEX($D$5:$D$14,MATCH($C$26,$B$5:$B$14,1)+1)-INDEX($D$5:$D$14,MATCH($C$26,$B$5:$B$14,1))),INDEX($D$5:$D$14,MATCH($C$26,$B$5:$B$14,1)))</f>
        <v>0.333142857142857</v>
      </c>
    </row>
    <row r="28" customFormat="false" ht="15" hidden="false" customHeight="false" outlineLevel="0" collapsed="false">
      <c r="B28" s="8" t="s">
        <v>133</v>
      </c>
      <c r="C28" s="31" t="n">
        <f aca="false">C27*$C$5</f>
        <v>11660</v>
      </c>
    </row>
    <row r="30" customFormat="false" ht="15" hidden="false" customHeight="false" outlineLevel="0" collapsed="false">
      <c r="B30" s="3" t="s">
        <v>134</v>
      </c>
      <c r="C30" s="4"/>
      <c r="D30" s="4"/>
      <c r="E30" s="4"/>
      <c r="F30" s="4"/>
    </row>
    <row r="31" customFormat="false" ht="15" hidden="false" customHeight="false" outlineLevel="0" collapsed="false">
      <c r="B31" s="29" t="s">
        <v>135</v>
      </c>
      <c r="C31" s="29" t="s">
        <v>124</v>
      </c>
      <c r="D31" s="29" t="s">
        <v>118</v>
      </c>
      <c r="E31" s="29" t="s">
        <v>136</v>
      </c>
    </row>
    <row r="32" customFormat="false" ht="15" hidden="false" customHeight="false" outlineLevel="0" collapsed="false">
      <c r="B32" s="35" t="s">
        <v>137</v>
      </c>
      <c r="C32" s="15" t="n">
        <f aca="false">Inputs!$C$6+1*Inputs!$C$5</f>
        <v>95000</v>
      </c>
      <c r="D32" s="30" t="n">
        <f aca="false">IFERROR(INDEX($D$5:$D$14,MATCH($C$32,$B$5:$B$14,1))+($C$32-INDEX($B$5:$B$14,MATCH($C$32,$B$5:$B$14,1)))/(INDEX($B$5:$B$14,MATCH($C$32,$B$5:$B$14,1)+1)-INDEX($B$5:$B$14,MATCH($C$32,$B$5:$B$14,1)))*(INDEX($D$5:$D$14,MATCH($C$32,$B$5:$B$14,1)+1)-INDEX($D$5:$D$14,MATCH($C$32,$B$5:$B$14,1))),INDEX($D$5:$D$14,MATCH($C$32,$B$5:$B$14,1)))</f>
        <v>0.439971428571429</v>
      </c>
      <c r="E32" s="30" t="n">
        <f aca="false">IFERROR(D32/$C$21,0)</f>
        <v>0.531146523178808</v>
      </c>
    </row>
    <row r="33" customFormat="false" ht="15" hidden="false" customHeight="false" outlineLevel="0" collapsed="false">
      <c r="B33" s="35" t="s">
        <v>138</v>
      </c>
      <c r="C33" s="15" t="n">
        <f aca="false">Inputs!$C$6+2*Inputs!$C$5</f>
        <v>150000</v>
      </c>
      <c r="D33" s="30" t="n">
        <f aca="false">IFERROR(INDEX($D$5:$D$14,MATCH($C$33,$B$5:$B$14,1))+($C$33-INDEX($B$5:$B$14,MATCH($C$33,$B$5:$B$14,1)))/(INDEX($B$5:$B$14,MATCH($C$33,$B$5:$B$14,1)+1)-INDEX($B$5:$B$14,MATCH($C$33,$B$5:$B$14,1)))*(INDEX($D$5:$D$14,MATCH($C$33,$B$5:$B$14,1)+1)-INDEX($D$5:$D$14,MATCH($C$33,$B$5:$B$14,1))),INDEX($D$5:$D$14,MATCH($C$33,$B$5:$B$14,1)))</f>
        <v>0.254285714285714</v>
      </c>
      <c r="E33" s="30" t="n">
        <f aca="false">IFERROR(D33/$C$21,0)</f>
        <v>0.306981236203091</v>
      </c>
    </row>
    <row r="34" customFormat="false" ht="15" hidden="false" customHeight="false" outlineLevel="0" collapsed="false">
      <c r="B34" s="35" t="s">
        <v>139</v>
      </c>
      <c r="C34" s="15" t="n">
        <f aca="false">Inputs!$C$6+2.5*Inputs!$C$5</f>
        <v>177500</v>
      </c>
      <c r="D34" s="30" t="n">
        <f aca="false">IFERROR(INDEX($D$5:$D$14,MATCH($C$34,$B$5:$B$14,1))+($C$34-INDEX($B$5:$B$14,MATCH($C$34,$B$5:$B$14,1)))/(INDEX($B$5:$B$14,MATCH($C$34,$B$5:$B$14,1)+1)-INDEX($B$5:$B$14,MATCH($C$34,$B$5:$B$14,1)))*(INDEX($D$5:$D$14,MATCH($C$34,$B$5:$B$14,1)+1)-INDEX($D$5:$D$14,MATCH($C$34,$B$5:$B$14,1))),INDEX($D$5:$D$14,MATCH($C$34,$B$5:$B$14,1)))</f>
        <v>0.215785714285714</v>
      </c>
      <c r="E34" s="30" t="n">
        <f aca="false">IFERROR(D34/$C$21,0)</f>
        <v>0.260502897350993</v>
      </c>
    </row>
    <row r="35" customFormat="false" ht="15" hidden="false" customHeight="false" outlineLevel="0" collapsed="false">
      <c r="B35" s="35" t="s">
        <v>140</v>
      </c>
      <c r="C35" s="15" t="n">
        <f aca="false">Inputs!$C$6+3*Inputs!$C$5</f>
        <v>205000</v>
      </c>
      <c r="D35" s="30" t="n">
        <f aca="false">IFERROR(INDEX($D$5:$D$14,MATCH($C$35,$B$5:$B$14,1))+($C$35-INDEX($B$5:$B$14,MATCH($C$35,$B$5:$B$14,1)))/(INDEX($B$5:$B$14,MATCH($C$35,$B$5:$B$14,1)+1)-INDEX($B$5:$B$14,MATCH($C$35,$B$5:$B$14,1)))*(INDEX($D$5:$D$14,MATCH($C$35,$B$5:$B$14,1)+1)-INDEX($D$5:$D$14,MATCH($C$35,$B$5:$B$14,1))),INDEX($D$5:$D$14,MATCH($C$35,$B$5:$B$14,1)))</f>
        <v>0.178714285714286</v>
      </c>
      <c r="E35" s="30" t="n">
        <f aca="false">IFERROR(D35/$C$21,0)</f>
        <v>0.21574917218543</v>
      </c>
    </row>
    <row r="36" customFormat="false" ht="15" hidden="false" customHeight="false" outlineLevel="0" collapsed="false">
      <c r="B36" s="35" t="s">
        <v>141</v>
      </c>
      <c r="C36" s="15" t="n">
        <f aca="false">Inputs!$C$6+4*Inputs!$C$5</f>
        <v>260000</v>
      </c>
      <c r="D36" s="30" t="n">
        <f aca="false">IFERROR(INDEX($D$5:$D$14,MATCH($C$36,$B$5:$B$14,1))+($C$36-INDEX($B$5:$B$14,MATCH($C$36,$B$5:$B$14,1)))/(INDEX($B$5:$B$14,MATCH($C$36,$B$5:$B$14,1)+1)-INDEX($B$5:$B$14,MATCH($C$36,$B$5:$B$14,1)))*(INDEX($D$5:$D$14,MATCH($C$36,$B$5:$B$14,1)+1)-INDEX($D$5:$D$14,MATCH($C$36,$B$5:$B$14,1))),INDEX($D$5:$D$14,MATCH($C$36,$B$5:$B$14,1)))</f>
        <v>0.128571428571429</v>
      </c>
      <c r="E36" s="30" t="n">
        <f aca="false">IFERROR(D36/$C$21,0)</f>
        <v>0.155215231788079</v>
      </c>
    </row>
    <row r="37" customFormat="false" ht="15" hidden="false" customHeight="false" outlineLevel="0" collapsed="false">
      <c r="B37" s="32" t="s">
        <v>142</v>
      </c>
      <c r="C37" s="32"/>
      <c r="D37" s="32"/>
      <c r="E37" s="32"/>
      <c r="F37" s="32"/>
    </row>
  </sheetData>
  <mergeCells count="7">
    <mergeCell ref="B15:F15"/>
    <mergeCell ref="D19:F19"/>
    <mergeCell ref="D20:F20"/>
    <mergeCell ref="D21:F21"/>
    <mergeCell ref="D22:F22"/>
    <mergeCell ref="D23:F23"/>
    <mergeCell ref="B37:F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9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22"/>
    <col collapsed="false" customWidth="true" hidden="false" outlineLevel="0" max="3" min="3" style="0" width="8"/>
    <col collapsed="false" customWidth="true" hidden="false" outlineLevel="0" max="4" min="4" style="0" width="11"/>
    <col collapsed="false" customWidth="true" hidden="false" outlineLevel="0" max="5" min="5" style="0" width="14"/>
    <col collapsed="false" customWidth="true" hidden="false" outlineLevel="0" max="6" min="6" style="0" width="11"/>
    <col collapsed="false" customWidth="true" hidden="false" outlineLevel="0" max="7" min="7" style="0" width="13"/>
    <col collapsed="false" customWidth="true" hidden="false" outlineLevel="0" max="8" min="8" style="0" width="9"/>
    <col collapsed="false" customWidth="true" hidden="false" outlineLevel="0" max="9" min="9" style="0" width="10"/>
    <col collapsed="false" customWidth="true" hidden="false" outlineLevel="0" max="10" min="10" style="0" width="11"/>
    <col collapsed="false" customWidth="true" hidden="false" outlineLevel="0" max="11" min="11" style="0" width="13"/>
    <col collapsed="false" customWidth="true" hidden="false" outlineLevel="0" max="12" min="12" style="0" width="10"/>
    <col collapsed="false" customWidth="true" hidden="false" outlineLevel="0" max="13" min="13" style="0" width="16"/>
    <col collapsed="false" customWidth="true" hidden="false" outlineLevel="0" max="14" min="14" style="0" width="46"/>
    <col collapsed="false" customWidth="true" hidden="false" outlineLevel="0" max="17" min="15" style="0" width="12"/>
    <col collapsed="false" customWidth="true" hidden="false" outlineLevel="0" max="19" min="18" style="0" width="10"/>
    <col collapsed="false" customWidth="true" hidden="false" outlineLevel="0" max="22" min="20" style="0" width="12"/>
    <col collapsed="false" customWidth="true" hidden="false" outlineLevel="0" max="23" min="23" style="0" width="11"/>
    <col collapsed="false" customWidth="true" hidden="false" outlineLevel="0" max="24" min="24" style="0" width="12"/>
    <col collapsed="false" customWidth="true" hidden="false" outlineLevel="0" max="27" min="25" style="0" width="13"/>
    <col collapsed="false" customWidth="true" hidden="false" outlineLevel="0" max="28" min="28" style="0" width="12"/>
    <col collapsed="false" customWidth="true" hidden="false" outlineLevel="0" max="30" min="29" style="0" width="14"/>
    <col collapsed="false" customWidth="true" hidden="false" outlineLevel="0" max="31" min="31" style="0" width="8"/>
    <col collapsed="false" customWidth="true" hidden="false" outlineLevel="0" max="32" min="32" style="0" width="13"/>
    <col collapsed="false" customWidth="true" hidden="false" outlineLevel="0" max="33" min="33" style="0" width="12"/>
    <col collapsed="false" customWidth="true" hidden="false" outlineLevel="0" max="34" min="34" style="0" width="13"/>
    <col collapsed="false" customWidth="true" hidden="false" outlineLevel="0" max="35" min="35" style="0" width="12"/>
    <col collapsed="false" customWidth="true" hidden="false" outlineLevel="0" max="36" min="36" style="0" width="13"/>
    <col collapsed="false" customWidth="true" hidden="false" outlineLevel="0" max="37" min="37" style="0" width="14"/>
  </cols>
  <sheetData>
    <row r="1" customFormat="false" ht="17.35" hidden="false" customHeight="false" outlineLevel="0" collapsed="false">
      <c r="A1" s="1" t="s">
        <v>143</v>
      </c>
    </row>
    <row r="2" customFormat="false" ht="15" hidden="false" customHeight="false" outlineLevel="0" collapsed="false">
      <c r="A2" s="2" t="s">
        <v>144</v>
      </c>
    </row>
    <row r="3" customFormat="false" ht="15" hidden="false" customHeight="false" outlineLevel="0" collapsed="false">
      <c r="A3" s="2" t="s">
        <v>145</v>
      </c>
    </row>
    <row r="6" customFormat="false" ht="36" hidden="false" customHeight="true" outlineLevel="0" collapsed="false">
      <c r="A6" s="36" t="s">
        <v>146</v>
      </c>
      <c r="B6" s="36" t="s">
        <v>147</v>
      </c>
      <c r="C6" s="36" t="s">
        <v>148</v>
      </c>
      <c r="D6" s="36" t="s">
        <v>149</v>
      </c>
      <c r="E6" s="36" t="s">
        <v>150</v>
      </c>
      <c r="F6" s="36" t="s">
        <v>151</v>
      </c>
      <c r="G6" s="36" t="s">
        <v>152</v>
      </c>
      <c r="H6" s="36" t="s">
        <v>153</v>
      </c>
      <c r="I6" s="36" t="s">
        <v>154</v>
      </c>
      <c r="J6" s="36" t="s">
        <v>155</v>
      </c>
      <c r="K6" s="36" t="s">
        <v>156</v>
      </c>
      <c r="L6" s="36" t="s">
        <v>157</v>
      </c>
      <c r="M6" s="36" t="s">
        <v>158</v>
      </c>
      <c r="N6" s="36" t="s">
        <v>159</v>
      </c>
      <c r="O6" s="36" t="s">
        <v>160</v>
      </c>
      <c r="P6" s="36" t="s">
        <v>161</v>
      </c>
      <c r="Q6" s="36" t="s">
        <v>162</v>
      </c>
      <c r="R6" s="36" t="s">
        <v>163</v>
      </c>
      <c r="S6" s="36" t="s">
        <v>164</v>
      </c>
      <c r="T6" s="36" t="s">
        <v>165</v>
      </c>
      <c r="U6" s="36" t="s">
        <v>166</v>
      </c>
      <c r="V6" s="36" t="s">
        <v>167</v>
      </c>
      <c r="W6" s="36" t="s">
        <v>168</v>
      </c>
      <c r="X6" s="36" t="s">
        <v>169</v>
      </c>
      <c r="Y6" s="36" t="s">
        <v>170</v>
      </c>
      <c r="Z6" s="36" t="s">
        <v>171</v>
      </c>
      <c r="AA6" s="36" t="s">
        <v>172</v>
      </c>
      <c r="AB6" s="36" t="s">
        <v>173</v>
      </c>
      <c r="AC6" s="36" t="s">
        <v>174</v>
      </c>
      <c r="AD6" s="36" t="s">
        <v>175</v>
      </c>
      <c r="AE6" s="36" t="s">
        <v>176</v>
      </c>
      <c r="AF6" s="36" t="s">
        <v>177</v>
      </c>
      <c r="AG6" s="36" t="s">
        <v>178</v>
      </c>
      <c r="AH6" s="36" t="s">
        <v>179</v>
      </c>
      <c r="AI6" s="36" t="s">
        <v>180</v>
      </c>
      <c r="AJ6" s="36" t="s">
        <v>181</v>
      </c>
      <c r="AK6" s="36" t="s">
        <v>182</v>
      </c>
    </row>
    <row r="7" customFormat="false" ht="25.5" hidden="false" customHeight="true" outlineLevel="0" collapsed="false">
      <c r="A7" s="35" t="s">
        <v>183</v>
      </c>
      <c r="B7" s="35" t="s">
        <v>184</v>
      </c>
      <c r="C7" s="37" t="s">
        <v>185</v>
      </c>
      <c r="D7" s="24" t="n">
        <v>0.453</v>
      </c>
      <c r="E7" s="38" t="s">
        <v>186</v>
      </c>
      <c r="F7" s="39" t="n">
        <f aca="false">(1-D7)/(1-Inputs!$C$54)</f>
        <v>0.939862542955326</v>
      </c>
      <c r="G7" s="40" t="n">
        <v>46000</v>
      </c>
      <c r="H7" s="41" t="n">
        <v>19.5</v>
      </c>
      <c r="I7" s="42" t="s">
        <v>187</v>
      </c>
      <c r="J7" s="42" t="s">
        <v>188</v>
      </c>
      <c r="K7" s="42" t="s">
        <v>189</v>
      </c>
      <c r="L7" s="42" t="s">
        <v>190</v>
      </c>
      <c r="M7" s="38" t="s">
        <v>191</v>
      </c>
      <c r="N7" s="43" t="s">
        <v>192</v>
      </c>
      <c r="O7" s="31" t="n">
        <f aca="false">MIN(G7,G7*Depreciation!$C$23*F7)</f>
        <v>11079.8227073424</v>
      </c>
      <c r="P7" s="31" t="n">
        <f aca="false">G7-O7</f>
        <v>34920.1772926576</v>
      </c>
      <c r="Q7" s="22" t="n">
        <f aca="false">IFERROR(P7/Inputs!$C$8,0)</f>
        <v>0.249429837804697</v>
      </c>
      <c r="R7" s="22" t="n">
        <f aca="false">IFERROR(IF(I7="Diesel",Inputs!$C$14,Inputs!$C$13)/H7,0)</f>
        <v>0.182051282051282</v>
      </c>
      <c r="S7" s="22" t="n">
        <f aca="false">IFERROR(IF(J7="Truck",Inputs!$C$16,Inputs!$C$15)/Inputs!$C$17,0)</f>
        <v>0.0236363636363636</v>
      </c>
      <c r="T7" s="22" t="n">
        <f aca="false">Inputs!$C$18</f>
        <v>0.08</v>
      </c>
      <c r="U7" s="22" t="n">
        <f aca="false">Inputs!$C$29</f>
        <v>0.0557142857142857</v>
      </c>
      <c r="V7" s="22" t="n">
        <f aca="false">IFERROR(Inputs!$C$19/Inputs!$C$5,0)</f>
        <v>0.0290909090909091</v>
      </c>
      <c r="W7" s="22" t="n">
        <f aca="false">IFERROR(Inputs!$C$20/Inputs!$C$5,0)</f>
        <v>0.00818181818181818</v>
      </c>
      <c r="X7" s="22" t="n">
        <f aca="false">IFERROR(G7*Inputs!$C$46/Inputs!$C$8,0)</f>
        <v>0.023</v>
      </c>
      <c r="Y7" s="22" t="n">
        <f aca="false">IFERROR((G7+O7)/2*Inputs!$C$33*Inputs!$C$9/Inputs!$C$8,0)</f>
        <v>0.0233508365620946</v>
      </c>
      <c r="Z7" s="22" t="n">
        <f aca="false">IFERROR((G7*(1-Inputs!$C$35)*Inputs!$C$36*Inputs!$C$34*Inputs!$C$9+G7*Inputs!$C$35*Inputs!$C$33*Inputs!$C$9)/Inputs!$C$8,0)</f>
        <v>0.0314472727272727</v>
      </c>
      <c r="AA7" s="22" t="n">
        <f aca="false">IF(Inputs!$C$32="Cash",Y7,Z7)</f>
        <v>0.0233508365620946</v>
      </c>
      <c r="AB7" s="44" t="n">
        <f aca="false">Q7+R7+S7+T7+U7+V7+W7+X7+AA7</f>
        <v>0.67445533304145</v>
      </c>
      <c r="AC7" s="31" t="n">
        <f aca="false">AB7*Inputs!$C$8</f>
        <v>94423.746625803</v>
      </c>
      <c r="AD7" s="31" t="n">
        <f aca="false">AB7*Inputs!$C$5</f>
        <v>37095.0433172798</v>
      </c>
      <c r="AE7" s="45" t="n">
        <f aca="false">RANK(AB7,$AB$7:$AB$82,1)</f>
        <v>66</v>
      </c>
      <c r="AF7" s="41" t="n">
        <v>45.6</v>
      </c>
      <c r="AG7" s="41" t="n">
        <v>63.4</v>
      </c>
      <c r="AH7" s="46" t="n">
        <v>54.5</v>
      </c>
      <c r="AI7" s="38" t="s">
        <v>193</v>
      </c>
      <c r="AJ7" s="47" t="n">
        <f aca="false">MIN(G7,G7*Depreciation!$E$33*F7)</f>
        <v>13271.9276036807</v>
      </c>
      <c r="AK7" s="48" t="n">
        <f aca="false">IFERROR((G7-AJ7)/(2*Inputs!$C$5),0)</f>
        <v>0.29752793087563</v>
      </c>
    </row>
    <row r="8" customFormat="false" ht="25.5" hidden="false" customHeight="true" outlineLevel="0" collapsed="false">
      <c r="A8" s="35" t="s">
        <v>194</v>
      </c>
      <c r="B8" s="35" t="s">
        <v>184</v>
      </c>
      <c r="C8" s="37" t="s">
        <v>185</v>
      </c>
      <c r="D8" s="24" t="n">
        <v>0.453</v>
      </c>
      <c r="E8" s="38" t="s">
        <v>186</v>
      </c>
      <c r="F8" s="39" t="n">
        <f aca="false">(1-D8)/(1-Inputs!$C$54)</f>
        <v>0.939862542955326</v>
      </c>
      <c r="G8" s="40" t="n">
        <v>48000</v>
      </c>
      <c r="H8" s="41" t="n">
        <v>27</v>
      </c>
      <c r="I8" s="42" t="s">
        <v>195</v>
      </c>
      <c r="J8" s="42" t="s">
        <v>188</v>
      </c>
      <c r="K8" s="42" t="s">
        <v>189</v>
      </c>
      <c r="L8" s="42" t="s">
        <v>190</v>
      </c>
      <c r="M8" s="38" t="s">
        <v>191</v>
      </c>
      <c r="N8" s="43" t="s">
        <v>196</v>
      </c>
      <c r="O8" s="31" t="n">
        <f aca="false">MIN(G8,G8*Depreciation!$C$23*F8)</f>
        <v>11561.5541294008</v>
      </c>
      <c r="P8" s="31" t="n">
        <f aca="false">G8-O8</f>
        <v>36438.4458705992</v>
      </c>
      <c r="Q8" s="22" t="n">
        <f aca="false">IFERROR(P8/Inputs!$C$8,0)</f>
        <v>0.260274613361423</v>
      </c>
      <c r="R8" s="22" t="n">
        <f aca="false">IFERROR(IF(I8="Diesel",Inputs!$C$14,Inputs!$C$13)/H8,0)</f>
        <v>0.198148148148148</v>
      </c>
      <c r="S8" s="22" t="n">
        <f aca="false">IFERROR(IF(J8="Truck",Inputs!$C$16,Inputs!$C$15)/Inputs!$C$17,0)</f>
        <v>0.0236363636363636</v>
      </c>
      <c r="T8" s="22" t="n">
        <f aca="false">Inputs!$C$18</f>
        <v>0.08</v>
      </c>
      <c r="U8" s="22" t="n">
        <f aca="false">Inputs!$C$29</f>
        <v>0.0557142857142857</v>
      </c>
      <c r="V8" s="22" t="n">
        <f aca="false">IFERROR(Inputs!$C$19/Inputs!$C$5,0)</f>
        <v>0.0290909090909091</v>
      </c>
      <c r="W8" s="22" t="n">
        <f aca="false">IFERROR(Inputs!$C$20/Inputs!$C$5,0)</f>
        <v>0.00818181818181818</v>
      </c>
      <c r="X8" s="22" t="n">
        <f aca="false">IFERROR(G8*Inputs!$C$46/Inputs!$C$8,0)</f>
        <v>0.024</v>
      </c>
      <c r="Y8" s="22" t="n">
        <f aca="false">IFERROR((G8+O8)/2*Inputs!$C$33*Inputs!$C$9/Inputs!$C$8,0)</f>
        <v>0.024366090325664</v>
      </c>
      <c r="Z8" s="22" t="n">
        <f aca="false">IFERROR((G8*(1-Inputs!$C$35)*Inputs!$C$36*Inputs!$C$34*Inputs!$C$9+G8*Inputs!$C$35*Inputs!$C$33*Inputs!$C$9)/Inputs!$C$8,0)</f>
        <v>0.0328145454545455</v>
      </c>
      <c r="AA8" s="22" t="n">
        <f aca="false">IF(Inputs!$C$32="Cash",Y8,Z8)</f>
        <v>0.024366090325664</v>
      </c>
      <c r="AB8" s="44" t="n">
        <f aca="false">Q8+R8+S8+T8+U8+V8+W8+X8+AA8</f>
        <v>0.703412228458612</v>
      </c>
      <c r="AC8" s="31" t="n">
        <f aca="false">AB8*Inputs!$C$8</f>
        <v>98477.7119842056</v>
      </c>
      <c r="AD8" s="31" t="n">
        <f aca="false">AB8*Inputs!$C$5</f>
        <v>38687.6725652236</v>
      </c>
      <c r="AE8" s="45" t="n">
        <f aca="false">RANK(AB8,$AB$7:$AB$82,1)</f>
        <v>70</v>
      </c>
      <c r="AF8" s="41" t="n">
        <v>57.6</v>
      </c>
      <c r="AG8" s="41" t="n">
        <v>63.4</v>
      </c>
      <c r="AH8" s="46" t="n">
        <v>54.5</v>
      </c>
      <c r="AI8" s="38" t="s">
        <v>193</v>
      </c>
      <c r="AJ8" s="47" t="n">
        <f aca="false">MIN(G8,G8*Depreciation!$E$33*F8)</f>
        <v>13848.9679342755</v>
      </c>
      <c r="AK8" s="48" t="n">
        <f aca="false">IFERROR((G8-AJ8)/(2*Inputs!$C$5),0)</f>
        <v>0.310463927870223</v>
      </c>
    </row>
    <row r="9" customFormat="false" ht="25.5" hidden="false" customHeight="true" outlineLevel="0" collapsed="false">
      <c r="A9" s="35" t="s">
        <v>197</v>
      </c>
      <c r="B9" s="35" t="s">
        <v>184</v>
      </c>
      <c r="C9" s="37" t="s">
        <v>185</v>
      </c>
      <c r="D9" s="24" t="n">
        <v>0.556</v>
      </c>
      <c r="E9" s="38" t="s">
        <v>198</v>
      </c>
      <c r="F9" s="39" t="n">
        <f aca="false">(1-D9)/(1-Inputs!$C$54)</f>
        <v>0.762886597938144</v>
      </c>
      <c r="G9" s="40" t="n">
        <v>45000</v>
      </c>
      <c r="H9" s="41" t="n">
        <v>19</v>
      </c>
      <c r="I9" s="42" t="s">
        <v>187</v>
      </c>
      <c r="J9" s="42" t="s">
        <v>188</v>
      </c>
      <c r="K9" s="42" t="s">
        <v>189</v>
      </c>
      <c r="L9" s="42" t="s">
        <v>199</v>
      </c>
      <c r="M9" s="38" t="s">
        <v>191</v>
      </c>
      <c r="N9" s="43" t="s">
        <v>200</v>
      </c>
      <c r="O9" s="31" t="n">
        <f aca="false">MIN(G9,G9*Depreciation!$C$23*F9)</f>
        <v>8797.98337543524</v>
      </c>
      <c r="P9" s="31" t="n">
        <f aca="false">G9-O9</f>
        <v>36202.0166245648</v>
      </c>
      <c r="Q9" s="22" t="n">
        <f aca="false">IFERROR(P9/Inputs!$C$8,0)</f>
        <v>0.258585833032605</v>
      </c>
      <c r="R9" s="22" t="n">
        <f aca="false">IFERROR(IF(I9="Diesel",Inputs!$C$14,Inputs!$C$13)/H9,0)</f>
        <v>0.186842105263158</v>
      </c>
      <c r="S9" s="22" t="n">
        <f aca="false">IFERROR(IF(J9="Truck",Inputs!$C$16,Inputs!$C$15)/Inputs!$C$17,0)</f>
        <v>0.0236363636363636</v>
      </c>
      <c r="T9" s="22" t="n">
        <f aca="false">Inputs!$C$18</f>
        <v>0.08</v>
      </c>
      <c r="U9" s="22" t="n">
        <f aca="false">Inputs!$C$29</f>
        <v>0.0557142857142857</v>
      </c>
      <c r="V9" s="22" t="n">
        <f aca="false">IFERROR(Inputs!$C$19/Inputs!$C$5,0)</f>
        <v>0.0290909090909091</v>
      </c>
      <c r="W9" s="22" t="n">
        <f aca="false">IFERROR(Inputs!$C$20/Inputs!$C$5,0)</f>
        <v>0.00818181818181818</v>
      </c>
      <c r="X9" s="22" t="n">
        <f aca="false">IFERROR(G9*Inputs!$C$46/Inputs!$C$8,0)</f>
        <v>0.0225</v>
      </c>
      <c r="Y9" s="22" t="n">
        <f aca="false">IFERROR((G9+O9)/2*Inputs!$C$33*Inputs!$C$9/Inputs!$C$8,0)</f>
        <v>0.0220082659263144</v>
      </c>
      <c r="Z9" s="22" t="n">
        <f aca="false">IFERROR((G9*(1-Inputs!$C$35)*Inputs!$C$36*Inputs!$C$34*Inputs!$C$9+G9*Inputs!$C$35*Inputs!$C$33*Inputs!$C$9)/Inputs!$C$8,0)</f>
        <v>0.0307636363636364</v>
      </c>
      <c r="AA9" s="22" t="n">
        <f aca="false">IF(Inputs!$C$32="Cash",Y9,Z9)</f>
        <v>0.0220082659263144</v>
      </c>
      <c r="AB9" s="44" t="n">
        <f aca="false">Q9+R9+S9+T9+U9+V9+W9+X9+AA9</f>
        <v>0.686559580845454</v>
      </c>
      <c r="AC9" s="31" t="n">
        <f aca="false">AB9*Inputs!$C$8</f>
        <v>96118.3413183636</v>
      </c>
      <c r="AD9" s="31" t="n">
        <f aca="false">AB9*Inputs!$C$5</f>
        <v>37760.7769465</v>
      </c>
      <c r="AE9" s="45" t="n">
        <f aca="false">RANK(AB9,$AB$7:$AB$82,1)</f>
        <v>68</v>
      </c>
      <c r="AF9" s="41" t="n">
        <v>45.6</v>
      </c>
      <c r="AG9" s="41" t="n">
        <v>64.4</v>
      </c>
      <c r="AH9" s="46" t="n">
        <v>54.4</v>
      </c>
      <c r="AI9" s="38" t="s">
        <v>193</v>
      </c>
      <c r="AJ9" s="47" t="n">
        <f aca="false">MIN(G9,G9*Depreciation!$E$33*F9)</f>
        <v>10538.634191302</v>
      </c>
      <c r="AK9" s="48" t="n">
        <f aca="false">IFERROR((G9-AJ9)/(2*Inputs!$C$5),0)</f>
        <v>0.313285143715437</v>
      </c>
    </row>
    <row r="10" customFormat="false" ht="25.5" hidden="false" customHeight="true" outlineLevel="0" collapsed="false">
      <c r="A10" s="35" t="s">
        <v>201</v>
      </c>
      <c r="B10" s="35" t="s">
        <v>184</v>
      </c>
      <c r="C10" s="37" t="s">
        <v>185</v>
      </c>
      <c r="D10" s="24" t="n">
        <v>0.48</v>
      </c>
      <c r="E10" s="38" t="s">
        <v>186</v>
      </c>
      <c r="F10" s="39" t="n">
        <f aca="false">(1-D10)/(1-Inputs!$C$54)</f>
        <v>0.893470790378007</v>
      </c>
      <c r="G10" s="40" t="n">
        <v>49000</v>
      </c>
      <c r="H10" s="41" t="n">
        <v>19</v>
      </c>
      <c r="I10" s="42" t="s">
        <v>187</v>
      </c>
      <c r="J10" s="42" t="s">
        <v>188</v>
      </c>
      <c r="K10" s="42" t="s">
        <v>189</v>
      </c>
      <c r="L10" s="42" t="s">
        <v>202</v>
      </c>
      <c r="M10" s="38" t="s">
        <v>191</v>
      </c>
      <c r="N10" s="43" t="s">
        <v>203</v>
      </c>
      <c r="O10" s="31" t="n">
        <f aca="false">MIN(G10,G10*Depreciation!$C$23*F10)</f>
        <v>11219.8506709755</v>
      </c>
      <c r="P10" s="31" t="n">
        <f aca="false">G10-O10</f>
        <v>37780.1493290245</v>
      </c>
      <c r="Q10" s="22" t="n">
        <f aca="false">IFERROR(P10/Inputs!$C$8,0)</f>
        <v>0.269858209493032</v>
      </c>
      <c r="R10" s="22" t="n">
        <f aca="false">IFERROR(IF(I10="Diesel",Inputs!$C$14,Inputs!$C$13)/H10,0)</f>
        <v>0.186842105263158</v>
      </c>
      <c r="S10" s="22" t="n">
        <f aca="false">IFERROR(IF(J10="Truck",Inputs!$C$16,Inputs!$C$15)/Inputs!$C$17,0)</f>
        <v>0.0236363636363636</v>
      </c>
      <c r="T10" s="22" t="n">
        <f aca="false">Inputs!$C$18</f>
        <v>0.08</v>
      </c>
      <c r="U10" s="22" t="n">
        <f aca="false">Inputs!$C$29</f>
        <v>0.0557142857142857</v>
      </c>
      <c r="V10" s="22" t="n">
        <f aca="false">IFERROR(Inputs!$C$19/Inputs!$C$5,0)</f>
        <v>0.0290909090909091</v>
      </c>
      <c r="W10" s="22" t="n">
        <f aca="false">IFERROR(Inputs!$C$20/Inputs!$C$5,0)</f>
        <v>0.00818181818181818</v>
      </c>
      <c r="X10" s="22" t="n">
        <f aca="false">IFERROR(G10*Inputs!$C$46/Inputs!$C$8,0)</f>
        <v>0.0245</v>
      </c>
      <c r="Y10" s="22" t="n">
        <f aca="false">IFERROR((G10+O10)/2*Inputs!$C$33*Inputs!$C$9/Inputs!$C$8,0)</f>
        <v>0.0246353934563081</v>
      </c>
      <c r="Z10" s="22" t="n">
        <f aca="false">IFERROR((G10*(1-Inputs!$C$35)*Inputs!$C$36*Inputs!$C$34*Inputs!$C$9+G10*Inputs!$C$35*Inputs!$C$33*Inputs!$C$9)/Inputs!$C$8,0)</f>
        <v>0.0334981818181818</v>
      </c>
      <c r="AA10" s="22" t="n">
        <f aca="false">IF(Inputs!$C$32="Cash",Y10,Z10)</f>
        <v>0.0246353934563081</v>
      </c>
      <c r="AB10" s="44" t="n">
        <f aca="false">Q10+R10+S10+T10+U10+V10+W10+X10+AA10</f>
        <v>0.702459084835875</v>
      </c>
      <c r="AC10" s="31" t="n">
        <f aca="false">AB10*Inputs!$C$8</f>
        <v>98344.2718770225</v>
      </c>
      <c r="AD10" s="31" t="n">
        <f aca="false">AB10*Inputs!$C$5</f>
        <v>38635.2496659731</v>
      </c>
      <c r="AE10" s="45" t="n">
        <f aca="false">RANK(AB10,$AB$7:$AB$82,1)</f>
        <v>69</v>
      </c>
      <c r="AF10" s="41" t="n">
        <v>29</v>
      </c>
      <c r="AG10" s="41" t="n">
        <v>63.4</v>
      </c>
      <c r="AH10" s="46" t="n">
        <v>54.5</v>
      </c>
      <c r="AI10" s="38" t="s">
        <v>193</v>
      </c>
      <c r="AJ10" s="47" t="n">
        <f aca="false">MIN(G10,G10*Depreciation!$E$33*F10)</f>
        <v>13439.659619338</v>
      </c>
      <c r="AK10" s="48" t="n">
        <f aca="false">IFERROR((G10-AJ10)/(2*Inputs!$C$5),0)</f>
        <v>0.323275821642381</v>
      </c>
    </row>
    <row r="11" customFormat="false" ht="25.5" hidden="false" customHeight="true" outlineLevel="0" collapsed="false">
      <c r="A11" s="35" t="s">
        <v>204</v>
      </c>
      <c r="B11" s="35" t="s">
        <v>184</v>
      </c>
      <c r="C11" s="37" t="s">
        <v>185</v>
      </c>
      <c r="D11" s="24" t="n">
        <v>0.48</v>
      </c>
      <c r="E11" s="38" t="s">
        <v>186</v>
      </c>
      <c r="F11" s="39" t="n">
        <f aca="false">(1-D11)/(1-Inputs!$C$54)</f>
        <v>0.893470790378007</v>
      </c>
      <c r="G11" s="40" t="n">
        <v>50000</v>
      </c>
      <c r="H11" s="41" t="n">
        <v>19</v>
      </c>
      <c r="I11" s="42" t="s">
        <v>187</v>
      </c>
      <c r="J11" s="42" t="s">
        <v>188</v>
      </c>
      <c r="K11" s="42" t="s">
        <v>189</v>
      </c>
      <c r="L11" s="42" t="s">
        <v>205</v>
      </c>
      <c r="M11" s="38" t="s">
        <v>191</v>
      </c>
      <c r="N11" s="43" t="s">
        <v>206</v>
      </c>
      <c r="O11" s="31" t="n">
        <f aca="false">MIN(G11,G11*Depreciation!$C$23*F11)</f>
        <v>11448.8272152811</v>
      </c>
      <c r="P11" s="31" t="n">
        <f aca="false">G11-O11</f>
        <v>38551.1727847189</v>
      </c>
      <c r="Q11" s="22" t="n">
        <f aca="false">IFERROR(P11/Inputs!$C$8,0)</f>
        <v>0.275365519890849</v>
      </c>
      <c r="R11" s="22" t="n">
        <f aca="false">IFERROR(IF(I11="Diesel",Inputs!$C$14,Inputs!$C$13)/H11,0)</f>
        <v>0.186842105263158</v>
      </c>
      <c r="S11" s="22" t="n">
        <f aca="false">IFERROR(IF(J11="Truck",Inputs!$C$16,Inputs!$C$15)/Inputs!$C$17,0)</f>
        <v>0.0236363636363636</v>
      </c>
      <c r="T11" s="22" t="n">
        <f aca="false">Inputs!$C$18</f>
        <v>0.08</v>
      </c>
      <c r="U11" s="22" t="n">
        <f aca="false">Inputs!$C$29</f>
        <v>0.0557142857142857</v>
      </c>
      <c r="V11" s="22" t="n">
        <f aca="false">IFERROR(Inputs!$C$19/Inputs!$C$5,0)</f>
        <v>0.0290909090909091</v>
      </c>
      <c r="W11" s="22" t="n">
        <f aca="false">IFERROR(Inputs!$C$20/Inputs!$C$5,0)</f>
        <v>0.00818181818181818</v>
      </c>
      <c r="X11" s="22" t="n">
        <f aca="false">IFERROR(G11*Inputs!$C$46/Inputs!$C$8,0)</f>
        <v>0.025</v>
      </c>
      <c r="Y11" s="22" t="n">
        <f aca="false">IFERROR((G11+O11)/2*Inputs!$C$33*Inputs!$C$9/Inputs!$C$8,0)</f>
        <v>0.0251381565880695</v>
      </c>
      <c r="Z11" s="22" t="n">
        <f aca="false">IFERROR((G11*(1-Inputs!$C$35)*Inputs!$C$36*Inputs!$C$34*Inputs!$C$9+G11*Inputs!$C$35*Inputs!$C$33*Inputs!$C$9)/Inputs!$C$8,0)</f>
        <v>0.0341818181818182</v>
      </c>
      <c r="AA11" s="22" t="n">
        <f aca="false">IF(Inputs!$C$32="Cash",Y11,Z11)</f>
        <v>0.0251381565880695</v>
      </c>
      <c r="AB11" s="44" t="n">
        <f aca="false">Q11+R11+S11+T11+U11+V11+W11+X11+AA11</f>
        <v>0.708969158365453</v>
      </c>
      <c r="AC11" s="31" t="n">
        <f aca="false">AB11*Inputs!$C$8</f>
        <v>99255.6821711635</v>
      </c>
      <c r="AD11" s="31" t="n">
        <f aca="false">AB11*Inputs!$C$5</f>
        <v>38993.3037100999</v>
      </c>
      <c r="AE11" s="45" t="n">
        <f aca="false">RANK(AB11,$AB$7:$AB$82,1)</f>
        <v>71</v>
      </c>
      <c r="AF11" s="41" t="n">
        <v>29</v>
      </c>
      <c r="AG11" s="41" t="n">
        <v>63.4</v>
      </c>
      <c r="AH11" s="46" t="n">
        <v>54.5</v>
      </c>
      <c r="AI11" s="38" t="s">
        <v>193</v>
      </c>
      <c r="AJ11" s="47" t="n">
        <f aca="false">MIN(G11,G11*Depreciation!$E$33*F11)</f>
        <v>13713.9383870796</v>
      </c>
      <c r="AK11" s="48" t="n">
        <f aca="false">IFERROR((G11-AJ11)/(2*Inputs!$C$5),0)</f>
        <v>0.329873287390185</v>
      </c>
    </row>
    <row r="12" customFormat="false" ht="25.5" hidden="false" customHeight="true" outlineLevel="0" collapsed="false">
      <c r="A12" s="35" t="s">
        <v>207</v>
      </c>
      <c r="B12" s="35" t="s">
        <v>184</v>
      </c>
      <c r="C12" s="49" t="s">
        <v>208</v>
      </c>
      <c r="D12" s="24" t="n">
        <v>0.6</v>
      </c>
      <c r="E12" s="38" t="s">
        <v>198</v>
      </c>
      <c r="F12" s="39" t="n">
        <f aca="false">(1-D12)/(1-Inputs!$C$54)</f>
        <v>0.687285223367698</v>
      </c>
      <c r="G12" s="40" t="n">
        <v>43000</v>
      </c>
      <c r="H12" s="41" t="n">
        <v>18.5</v>
      </c>
      <c r="I12" s="42" t="s">
        <v>187</v>
      </c>
      <c r="J12" s="42" t="s">
        <v>188</v>
      </c>
      <c r="K12" s="42" t="s">
        <v>189</v>
      </c>
      <c r="L12" s="42" t="s">
        <v>209</v>
      </c>
      <c r="M12" s="38" t="s">
        <v>210</v>
      </c>
      <c r="N12" s="43" t="s">
        <v>211</v>
      </c>
      <c r="O12" s="31" t="n">
        <f aca="false">MIN(G12,G12*Depreciation!$C$23*F12)</f>
        <v>7573.83954241673</v>
      </c>
      <c r="P12" s="31" t="n">
        <f aca="false">G12-O12</f>
        <v>35426.1604575833</v>
      </c>
      <c r="Q12" s="22" t="n">
        <f aca="false">IFERROR(P12/Inputs!$C$8,0)</f>
        <v>0.253044003268452</v>
      </c>
      <c r="R12" s="22" t="n">
        <f aca="false">IFERROR(IF(I12="Diesel",Inputs!$C$14,Inputs!$C$13)/H12,0)</f>
        <v>0.191891891891892</v>
      </c>
      <c r="S12" s="22" t="n">
        <f aca="false">IFERROR(IF(J12="Truck",Inputs!$C$16,Inputs!$C$15)/Inputs!$C$17,0)</f>
        <v>0.0236363636363636</v>
      </c>
      <c r="T12" s="22" t="n">
        <f aca="false">Inputs!$C$18</f>
        <v>0.08</v>
      </c>
      <c r="U12" s="22" t="n">
        <f aca="false">Inputs!$C$29</f>
        <v>0.0557142857142857</v>
      </c>
      <c r="V12" s="22" t="n">
        <f aca="false">IFERROR(Inputs!$C$19/Inputs!$C$5,0)</f>
        <v>0.0290909090909091</v>
      </c>
      <c r="W12" s="22" t="n">
        <f aca="false">IFERROR(Inputs!$C$20/Inputs!$C$5,0)</f>
        <v>0.00818181818181818</v>
      </c>
      <c r="X12" s="22" t="n">
        <f aca="false">IFERROR(G12*Inputs!$C$46/Inputs!$C$8,0)</f>
        <v>0.0215</v>
      </c>
      <c r="Y12" s="22" t="n">
        <f aca="false">IFERROR((G12+O12)/2*Inputs!$C$33*Inputs!$C$9/Inputs!$C$8,0)</f>
        <v>0.020689297994625</v>
      </c>
      <c r="Z12" s="22" t="n">
        <f aca="false">IFERROR((G12*(1-Inputs!$C$35)*Inputs!$C$36*Inputs!$C$34*Inputs!$C$9+G12*Inputs!$C$35*Inputs!$C$33*Inputs!$C$9)/Inputs!$C$8,0)</f>
        <v>0.0293963636363636</v>
      </c>
      <c r="AA12" s="22" t="n">
        <f aca="false">IF(Inputs!$C$32="Cash",Y12,Z12)</f>
        <v>0.020689297994625</v>
      </c>
      <c r="AB12" s="44" t="n">
        <f aca="false">Q12+R12+S12+T12+U12+V12+W12+X12+AA12</f>
        <v>0.683748569778345</v>
      </c>
      <c r="AC12" s="31" t="n">
        <f aca="false">AB12*Inputs!$C$8</f>
        <v>95724.7997689684</v>
      </c>
      <c r="AD12" s="31" t="n">
        <f aca="false">AB12*Inputs!$C$5</f>
        <v>37606.171337809</v>
      </c>
      <c r="AE12" s="45" t="n">
        <f aca="false">RANK(AB12,$AB$7:$AB$82,1)</f>
        <v>67</v>
      </c>
      <c r="AF12" s="41" t="n">
        <v>52.7</v>
      </c>
      <c r="AG12" s="41" t="n">
        <v>64.4</v>
      </c>
      <c r="AH12" s="46" t="n">
        <v>54.4</v>
      </c>
      <c r="AI12" s="38" t="s">
        <v>193</v>
      </c>
      <c r="AJ12" s="47" t="n">
        <f aca="false">MIN(G12,G12*Depreciation!$E$33*F12)</f>
        <v>9072.29770222192</v>
      </c>
      <c r="AK12" s="48" t="n">
        <f aca="false">IFERROR((G12-AJ12)/(2*Inputs!$C$5),0)</f>
        <v>0.308433657252528</v>
      </c>
    </row>
    <row r="13" customFormat="false" ht="25.5" hidden="false" customHeight="true" outlineLevel="0" collapsed="false">
      <c r="A13" s="35" t="s">
        <v>212</v>
      </c>
      <c r="B13" s="35" t="s">
        <v>184</v>
      </c>
      <c r="C13" s="37" t="s">
        <v>185</v>
      </c>
      <c r="D13" s="24" t="n">
        <v>0.42</v>
      </c>
      <c r="E13" s="38" t="s">
        <v>213</v>
      </c>
      <c r="F13" s="39" t="n">
        <f aca="false">(1-D13)/(1-Inputs!$C$54)</f>
        <v>0.996563573883162</v>
      </c>
      <c r="G13" s="40" t="n">
        <v>46000</v>
      </c>
      <c r="H13" s="41" t="n">
        <v>15.5</v>
      </c>
      <c r="I13" s="42" t="s">
        <v>187</v>
      </c>
      <c r="J13" s="42" t="s">
        <v>188</v>
      </c>
      <c r="K13" s="42" t="s">
        <v>189</v>
      </c>
      <c r="L13" s="42" t="s">
        <v>214</v>
      </c>
      <c r="M13" s="38" t="s">
        <v>191</v>
      </c>
      <c r="N13" s="43" t="s">
        <v>215</v>
      </c>
      <c r="O13" s="31" t="n">
        <f aca="false">MIN(G13,G13*Depreciation!$C$23*F13)</f>
        <v>11748.2580809115</v>
      </c>
      <c r="P13" s="31" t="n">
        <f aca="false">G13-O13</f>
        <v>34251.7419190885</v>
      </c>
      <c r="Q13" s="22" t="n">
        <f aca="false">IFERROR(P13/Inputs!$C$8,0)</f>
        <v>0.244655299422061</v>
      </c>
      <c r="R13" s="22" t="n">
        <f aca="false">IFERROR(IF(I13="Diesel",Inputs!$C$14,Inputs!$C$13)/H13,0)</f>
        <v>0.229032258064516</v>
      </c>
      <c r="S13" s="22" t="n">
        <f aca="false">IFERROR(IF(J13="Truck",Inputs!$C$16,Inputs!$C$15)/Inputs!$C$17,0)</f>
        <v>0.0236363636363636</v>
      </c>
      <c r="T13" s="22" t="n">
        <f aca="false">Inputs!$C$18</f>
        <v>0.08</v>
      </c>
      <c r="U13" s="22" t="n">
        <f aca="false">Inputs!$C$29</f>
        <v>0.0557142857142857</v>
      </c>
      <c r="V13" s="22" t="n">
        <f aca="false">IFERROR(Inputs!$C$19/Inputs!$C$5,0)</f>
        <v>0.0290909090909091</v>
      </c>
      <c r="W13" s="22" t="n">
        <f aca="false">IFERROR(Inputs!$C$20/Inputs!$C$5,0)</f>
        <v>0.00818181818181818</v>
      </c>
      <c r="X13" s="22" t="n">
        <f aca="false">IFERROR(G13*Inputs!$C$46/Inputs!$C$8,0)</f>
        <v>0.023</v>
      </c>
      <c r="Y13" s="22" t="n">
        <f aca="false">IFERROR((G13+O13)/2*Inputs!$C$33*Inputs!$C$9/Inputs!$C$8,0)</f>
        <v>0.0236242873967365</v>
      </c>
      <c r="Z13" s="22" t="n">
        <f aca="false">IFERROR((G13*(1-Inputs!$C$35)*Inputs!$C$36*Inputs!$C$34*Inputs!$C$9+G13*Inputs!$C$35*Inputs!$C$33*Inputs!$C$9)/Inputs!$C$8,0)</f>
        <v>0.0314472727272727</v>
      </c>
      <c r="AA13" s="22" t="n">
        <f aca="false">IF(Inputs!$C$32="Cash",Y13,Z13)</f>
        <v>0.0236242873967365</v>
      </c>
      <c r="AB13" s="44" t="n">
        <f aca="false">Q13+R13+S13+T13+U13+V13+W13+X13+AA13</f>
        <v>0.71693522150669</v>
      </c>
      <c r="AC13" s="31" t="n">
        <f aca="false">AB13*Inputs!$C$8</f>
        <v>100370.931010937</v>
      </c>
      <c r="AD13" s="31" t="n">
        <f aca="false">AB13*Inputs!$C$5</f>
        <v>39431.4371828679</v>
      </c>
      <c r="AE13" s="45" t="n">
        <f aca="false">RANK(AB13,$AB$7:$AB$82,1)</f>
        <v>73</v>
      </c>
      <c r="AF13" s="41" t="n">
        <v>100</v>
      </c>
      <c r="AG13" s="41" t="n">
        <v>52.3</v>
      </c>
      <c r="AH13" s="46" t="n">
        <v>55.7</v>
      </c>
      <c r="AI13" s="38" t="s">
        <v>193</v>
      </c>
      <c r="AJ13" s="47" t="n">
        <f aca="false">MIN(G13,G13*Depreciation!$E$33*F13)</f>
        <v>14072.6106218186</v>
      </c>
      <c r="AK13" s="48" t="n">
        <f aca="false">IFERROR((G13-AJ13)/(2*Inputs!$C$5),0)</f>
        <v>0.290248994347103</v>
      </c>
    </row>
    <row r="14" customFormat="false" ht="25.5" hidden="false" customHeight="true" outlineLevel="0" collapsed="false">
      <c r="A14" s="35" t="s">
        <v>216</v>
      </c>
      <c r="B14" s="35" t="s">
        <v>184</v>
      </c>
      <c r="C14" s="49" t="s">
        <v>208</v>
      </c>
      <c r="D14" s="24" t="n">
        <v>0.6</v>
      </c>
      <c r="E14" s="38" t="s">
        <v>198</v>
      </c>
      <c r="F14" s="39" t="n">
        <f aca="false">(1-D14)/(1-Inputs!$C$54)</f>
        <v>0.687285223367698</v>
      </c>
      <c r="G14" s="40" t="n">
        <v>32000</v>
      </c>
      <c r="H14" s="41" t="n">
        <v>17</v>
      </c>
      <c r="I14" s="42" t="s">
        <v>187</v>
      </c>
      <c r="J14" s="42" t="s">
        <v>188</v>
      </c>
      <c r="K14" s="42" t="s">
        <v>189</v>
      </c>
      <c r="L14" s="42" t="s">
        <v>217</v>
      </c>
      <c r="M14" s="38" t="s">
        <v>191</v>
      </c>
      <c r="N14" s="43" t="s">
        <v>218</v>
      </c>
      <c r="O14" s="31" t="n">
        <f aca="false">MIN(G14,G14*Depreciation!$C$23*F14)</f>
        <v>5636.34570598454</v>
      </c>
      <c r="P14" s="31" t="n">
        <f aca="false">G14-O14</f>
        <v>26363.6542940155</v>
      </c>
      <c r="Q14" s="22" t="n">
        <f aca="false">IFERROR(P14/Inputs!$C$8,0)</f>
        <v>0.188311816385825</v>
      </c>
      <c r="R14" s="22" t="n">
        <f aca="false">IFERROR(IF(I14="Diesel",Inputs!$C$14,Inputs!$C$13)/H14,0)</f>
        <v>0.208823529411765</v>
      </c>
      <c r="S14" s="22" t="n">
        <f aca="false">IFERROR(IF(J14="Truck",Inputs!$C$16,Inputs!$C$15)/Inputs!$C$17,0)</f>
        <v>0.0236363636363636</v>
      </c>
      <c r="T14" s="22" t="n">
        <f aca="false">Inputs!$C$18</f>
        <v>0.08</v>
      </c>
      <c r="U14" s="22" t="n">
        <f aca="false">Inputs!$C$29</f>
        <v>0.0557142857142857</v>
      </c>
      <c r="V14" s="22" t="n">
        <f aca="false">IFERROR(Inputs!$C$19/Inputs!$C$5,0)</f>
        <v>0.0290909090909091</v>
      </c>
      <c r="W14" s="22" t="n">
        <f aca="false">IFERROR(Inputs!$C$20/Inputs!$C$5,0)</f>
        <v>0.00818181818181818</v>
      </c>
      <c r="X14" s="22" t="n">
        <f aca="false">IFERROR(G14*Inputs!$C$46/Inputs!$C$8,0)</f>
        <v>0.016</v>
      </c>
      <c r="Y14" s="22" t="n">
        <f aca="false">IFERROR((G14+O14)/2*Inputs!$C$33*Inputs!$C$9/Inputs!$C$8,0)</f>
        <v>0.0153966868797209</v>
      </c>
      <c r="Z14" s="22" t="n">
        <f aca="false">IFERROR((G14*(1-Inputs!$C$35)*Inputs!$C$36*Inputs!$C$34*Inputs!$C$9+G14*Inputs!$C$35*Inputs!$C$33*Inputs!$C$9)/Inputs!$C$8,0)</f>
        <v>0.0218763636363636</v>
      </c>
      <c r="AA14" s="22" t="n">
        <f aca="false">IF(Inputs!$C$32="Cash",Y14,Z14)</f>
        <v>0.0153966868797209</v>
      </c>
      <c r="AB14" s="44" t="n">
        <f aca="false">Q14+R14+S14+T14+U14+V14+W14+X14+AA14</f>
        <v>0.625155409300687</v>
      </c>
      <c r="AC14" s="31" t="n">
        <f aca="false">AB14*Inputs!$C$8</f>
        <v>87521.7573020962</v>
      </c>
      <c r="AD14" s="31" t="n">
        <f aca="false">AB14*Inputs!$C$5</f>
        <v>34383.5475115378</v>
      </c>
      <c r="AE14" s="45" t="n">
        <f aca="false">RANK(AB14,$AB$7:$AB$82,1)</f>
        <v>64</v>
      </c>
      <c r="AF14" s="41" t="n">
        <v>86.4</v>
      </c>
      <c r="AG14" s="41" t="n">
        <v>58.8</v>
      </c>
      <c r="AH14" s="46" t="n">
        <v>55</v>
      </c>
      <c r="AI14" s="38" t="s">
        <v>193</v>
      </c>
      <c r="AJ14" s="47" t="n">
        <f aca="false">MIN(G14,G14*Depreciation!$E$33*F14)</f>
        <v>6751.47735979306</v>
      </c>
      <c r="AK14" s="48" t="n">
        <f aca="false">IFERROR((G14-AJ14)/(2*Inputs!$C$5),0)</f>
        <v>0.229532024001881</v>
      </c>
    </row>
    <row r="15" customFormat="false" ht="25.5" hidden="false" customHeight="true" outlineLevel="0" collapsed="false">
      <c r="A15" s="35" t="s">
        <v>219</v>
      </c>
      <c r="B15" s="35" t="s">
        <v>184</v>
      </c>
      <c r="C15" s="50" t="s">
        <v>220</v>
      </c>
      <c r="D15" s="24" t="n">
        <v>0.618</v>
      </c>
      <c r="E15" s="38" t="s">
        <v>198</v>
      </c>
      <c r="F15" s="39" t="n">
        <f aca="false">(1-D15)/(1-Inputs!$C$54)</f>
        <v>0.656357388316151</v>
      </c>
      <c r="G15" s="40" t="n">
        <v>70000</v>
      </c>
      <c r="H15" s="41" t="n">
        <v>17</v>
      </c>
      <c r="I15" s="42" t="s">
        <v>187</v>
      </c>
      <c r="J15" s="42" t="s">
        <v>188</v>
      </c>
      <c r="K15" s="42" t="s">
        <v>189</v>
      </c>
      <c r="L15" s="42" t="s">
        <v>221</v>
      </c>
      <c r="M15" s="38" t="s">
        <v>222</v>
      </c>
      <c r="N15" s="43" t="s">
        <v>223</v>
      </c>
      <c r="O15" s="31" t="n">
        <f aca="false">MIN(G15,G15*Depreciation!$C$23*F15)</f>
        <v>11774.6784514083</v>
      </c>
      <c r="P15" s="31" t="n">
        <f aca="false">G15-O15</f>
        <v>58225.3215485917</v>
      </c>
      <c r="Q15" s="22" t="n">
        <f aca="false">IFERROR(P15/Inputs!$C$8,0)</f>
        <v>0.415895153918512</v>
      </c>
      <c r="R15" s="22" t="n">
        <f aca="false">IFERROR(IF(I15="Diesel",Inputs!$C$14,Inputs!$C$13)/H15,0)</f>
        <v>0.208823529411765</v>
      </c>
      <c r="S15" s="22" t="n">
        <f aca="false">IFERROR(IF(J15="Truck",Inputs!$C$16,Inputs!$C$15)/Inputs!$C$17,0)</f>
        <v>0.0236363636363636</v>
      </c>
      <c r="T15" s="22" t="n">
        <f aca="false">Inputs!$C$18</f>
        <v>0.08</v>
      </c>
      <c r="U15" s="22" t="n">
        <f aca="false">Inputs!$C$29</f>
        <v>0.0557142857142857</v>
      </c>
      <c r="V15" s="22" t="n">
        <f aca="false">IFERROR(Inputs!$C$19/Inputs!$C$5,0)</f>
        <v>0.0290909090909091</v>
      </c>
      <c r="W15" s="22" t="n">
        <f aca="false">IFERROR(Inputs!$C$20/Inputs!$C$5,0)</f>
        <v>0.00818181818181818</v>
      </c>
      <c r="X15" s="22" t="n">
        <f aca="false">IFERROR(G15*Inputs!$C$46/Inputs!$C$8,0)</f>
        <v>0.035</v>
      </c>
      <c r="Y15" s="22" t="n">
        <f aca="false">IFERROR((G15+O15)/2*Inputs!$C$33*Inputs!$C$9/Inputs!$C$8,0)</f>
        <v>0.0334532775483034</v>
      </c>
      <c r="Z15" s="22" t="n">
        <f aca="false">IFERROR((G15*(1-Inputs!$C$35)*Inputs!$C$36*Inputs!$C$34*Inputs!$C$9+G15*Inputs!$C$35*Inputs!$C$33*Inputs!$C$9)/Inputs!$C$8,0)</f>
        <v>0.0478545454545455</v>
      </c>
      <c r="AA15" s="22" t="n">
        <f aca="false">IF(Inputs!$C$32="Cash",Y15,Z15)</f>
        <v>0.0334532775483034</v>
      </c>
      <c r="AB15" s="44" t="n">
        <f aca="false">Q15+R15+S15+T15+U15+V15+W15+X15+AA15</f>
        <v>0.889795337501957</v>
      </c>
      <c r="AC15" s="31" t="n">
        <f aca="false">AB15*Inputs!$C$8</f>
        <v>124571.347250274</v>
      </c>
      <c r="AD15" s="31" t="n">
        <f aca="false">AB15*Inputs!$C$5</f>
        <v>48938.7435626076</v>
      </c>
      <c r="AE15" s="45" t="n">
        <f aca="false">RANK(AB15,$AB$7:$AB$82,1)</f>
        <v>76</v>
      </c>
      <c r="AF15" s="41" t="n">
        <v>44.1</v>
      </c>
      <c r="AG15" s="41" t="n">
        <v>54.2</v>
      </c>
      <c r="AH15" s="46" t="n">
        <v>55.5</v>
      </c>
      <c r="AI15" s="38" t="s">
        <v>193</v>
      </c>
      <c r="AJ15" s="47" t="n">
        <f aca="false">MIN(G15,G15*Depreciation!$E$33*F15)</f>
        <v>14104.2581719427</v>
      </c>
      <c r="AK15" s="48" t="n">
        <f aca="false">IFERROR((G15-AJ15)/(2*Inputs!$C$5),0)</f>
        <v>0.508143107527794</v>
      </c>
    </row>
    <row r="16" customFormat="false" ht="25.5" hidden="false" customHeight="true" outlineLevel="0" collapsed="false">
      <c r="A16" s="35" t="s">
        <v>224</v>
      </c>
      <c r="B16" s="35" t="s">
        <v>184</v>
      </c>
      <c r="C16" s="50" t="s">
        <v>220</v>
      </c>
      <c r="D16" s="24" t="n">
        <v>0.56</v>
      </c>
      <c r="E16" s="38" t="s">
        <v>225</v>
      </c>
      <c r="F16" s="39" t="n">
        <f aca="false">(1-D16)/(1-Inputs!$C$54)</f>
        <v>0.756013745704467</v>
      </c>
      <c r="G16" s="40" t="n">
        <v>54000</v>
      </c>
      <c r="H16" s="41" t="n">
        <v>16.5</v>
      </c>
      <c r="I16" s="42" t="s">
        <v>187</v>
      </c>
      <c r="J16" s="42" t="s">
        <v>188</v>
      </c>
      <c r="K16" s="42" t="s">
        <v>189</v>
      </c>
      <c r="L16" s="42" t="s">
        <v>226</v>
      </c>
      <c r="M16" s="38" t="s">
        <v>227</v>
      </c>
      <c r="N16" s="43" t="s">
        <v>228</v>
      </c>
      <c r="O16" s="31" t="n">
        <f aca="false">MIN(G16,G16*Depreciation!$C$23*F16)</f>
        <v>10462.4667167338</v>
      </c>
      <c r="P16" s="31" t="n">
        <f aca="false">G16-O16</f>
        <v>43537.5332832662</v>
      </c>
      <c r="Q16" s="22" t="n">
        <f aca="false">IFERROR(P16/Inputs!$C$8,0)</f>
        <v>0.310982380594759</v>
      </c>
      <c r="R16" s="22" t="n">
        <f aca="false">IFERROR(IF(I16="Diesel",Inputs!$C$14,Inputs!$C$13)/H16,0)</f>
        <v>0.215151515151515</v>
      </c>
      <c r="S16" s="22" t="n">
        <f aca="false">IFERROR(IF(J16="Truck",Inputs!$C$16,Inputs!$C$15)/Inputs!$C$17,0)</f>
        <v>0.0236363636363636</v>
      </c>
      <c r="T16" s="22" t="n">
        <f aca="false">Inputs!$C$18</f>
        <v>0.08</v>
      </c>
      <c r="U16" s="22" t="n">
        <f aca="false">Inputs!$C$29</f>
        <v>0.0557142857142857</v>
      </c>
      <c r="V16" s="22" t="n">
        <f aca="false">IFERROR(Inputs!$C$19/Inputs!$C$5,0)</f>
        <v>0.0290909090909091</v>
      </c>
      <c r="W16" s="22" t="n">
        <f aca="false">IFERROR(Inputs!$C$20/Inputs!$C$5,0)</f>
        <v>0.00818181818181818</v>
      </c>
      <c r="X16" s="22" t="n">
        <f aca="false">IFERROR(G16*Inputs!$C$46/Inputs!$C$8,0)</f>
        <v>0.027</v>
      </c>
      <c r="Y16" s="22" t="n">
        <f aca="false">IFERROR((G16+O16)/2*Inputs!$C$33*Inputs!$C$9/Inputs!$C$8,0)</f>
        <v>0.0263710091113911</v>
      </c>
      <c r="Z16" s="22" t="n">
        <f aca="false">IFERROR((G16*(1-Inputs!$C$35)*Inputs!$C$36*Inputs!$C$34*Inputs!$C$9+G16*Inputs!$C$35*Inputs!$C$33*Inputs!$C$9)/Inputs!$C$8,0)</f>
        <v>0.0369163636363636</v>
      </c>
      <c r="AA16" s="22" t="n">
        <f aca="false">IF(Inputs!$C$32="Cash",Y16,Z16)</f>
        <v>0.0263710091113911</v>
      </c>
      <c r="AB16" s="44" t="n">
        <f aca="false">Q16+R16+S16+T16+U16+V16+W16+X16+AA16</f>
        <v>0.776128281481042</v>
      </c>
      <c r="AC16" s="31" t="n">
        <f aca="false">AB16*Inputs!$C$8</f>
        <v>108657.959407346</v>
      </c>
      <c r="AD16" s="31" t="n">
        <f aca="false">AB16*Inputs!$C$5</f>
        <v>42687.0554814573</v>
      </c>
      <c r="AE16" s="45" t="n">
        <f aca="false">RANK(AB16,$AB$7:$AB$82,1)</f>
        <v>74</v>
      </c>
      <c r="AF16" s="41" t="n">
        <v>28.4</v>
      </c>
      <c r="AG16" s="41" t="n">
        <v>31</v>
      </c>
      <c r="AH16" s="46" t="n">
        <v>58</v>
      </c>
      <c r="AI16" s="38" t="s">
        <v>193</v>
      </c>
      <c r="AJ16" s="47" t="n">
        <f aca="false">MIN(G16,G16*Depreciation!$E$33*F16)</f>
        <v>12532.4298491159</v>
      </c>
      <c r="AK16" s="48" t="n">
        <f aca="false">IFERROR((G16-AJ16)/(2*Inputs!$C$5),0)</f>
        <v>0.376977910462583</v>
      </c>
    </row>
    <row r="17" customFormat="false" ht="25.5" hidden="false" customHeight="true" outlineLevel="0" collapsed="false">
      <c r="A17" s="35" t="s">
        <v>229</v>
      </c>
      <c r="B17" s="35" t="s">
        <v>230</v>
      </c>
      <c r="C17" s="49" t="s">
        <v>208</v>
      </c>
      <c r="D17" s="24" t="n">
        <v>0.51</v>
      </c>
      <c r="E17" s="38" t="s">
        <v>231</v>
      </c>
      <c r="F17" s="39" t="n">
        <f aca="false">(1-D17)/(1-Inputs!$C$54)</f>
        <v>0.841924398625429</v>
      </c>
      <c r="G17" s="40" t="n">
        <v>32000</v>
      </c>
      <c r="H17" s="41" t="n">
        <v>23</v>
      </c>
      <c r="I17" s="42" t="s">
        <v>187</v>
      </c>
      <c r="J17" s="42" t="s">
        <v>232</v>
      </c>
      <c r="K17" s="42" t="s">
        <v>189</v>
      </c>
      <c r="L17" s="42" t="s">
        <v>226</v>
      </c>
      <c r="M17" s="38" t="s">
        <v>227</v>
      </c>
      <c r="N17" s="43" t="s">
        <v>233</v>
      </c>
      <c r="O17" s="31" t="n">
        <f aca="false">MIN(G17,G17*Depreciation!$C$23*F17)</f>
        <v>6904.52348983106</v>
      </c>
      <c r="P17" s="31" t="n">
        <f aca="false">G17-O17</f>
        <v>25095.4765101689</v>
      </c>
      <c r="Q17" s="22" t="n">
        <f aca="false">IFERROR(P17/Inputs!$C$8,0)</f>
        <v>0.179253403644064</v>
      </c>
      <c r="R17" s="22" t="n">
        <f aca="false">IFERROR(IF(I17="Diesel",Inputs!$C$14,Inputs!$C$13)/H17,0)</f>
        <v>0.154347826086957</v>
      </c>
      <c r="S17" s="22" t="n">
        <f aca="false">IFERROR(IF(J17="Truck",Inputs!$C$16,Inputs!$C$15)/Inputs!$C$17,0)</f>
        <v>0.0163636363636364</v>
      </c>
      <c r="T17" s="22" t="n">
        <f aca="false">Inputs!$C$18</f>
        <v>0.08</v>
      </c>
      <c r="U17" s="22" t="n">
        <f aca="false">Inputs!$C$29</f>
        <v>0.0557142857142857</v>
      </c>
      <c r="V17" s="22" t="n">
        <f aca="false">IFERROR(Inputs!$C$19/Inputs!$C$5,0)</f>
        <v>0.0290909090909091</v>
      </c>
      <c r="W17" s="22" t="n">
        <f aca="false">IFERROR(Inputs!$C$20/Inputs!$C$5,0)</f>
        <v>0.00818181818181818</v>
      </c>
      <c r="X17" s="22" t="n">
        <f aca="false">IFERROR(G17*Inputs!$C$46/Inputs!$C$8,0)</f>
        <v>0.016</v>
      </c>
      <c r="Y17" s="22" t="n">
        <f aca="false">IFERROR((G17+O17)/2*Inputs!$C$33*Inputs!$C$9/Inputs!$C$8,0)</f>
        <v>0.0159154868822036</v>
      </c>
      <c r="Z17" s="22" t="n">
        <f aca="false">IFERROR((G17*(1-Inputs!$C$35)*Inputs!$C$36*Inputs!$C$34*Inputs!$C$9+G17*Inputs!$C$35*Inputs!$C$33*Inputs!$C$9)/Inputs!$C$8,0)</f>
        <v>0.0218763636363636</v>
      </c>
      <c r="AA17" s="22" t="n">
        <f aca="false">IF(Inputs!$C$32="Cash",Y17,Z17)</f>
        <v>0.0159154868822036</v>
      </c>
      <c r="AB17" s="44" t="n">
        <f aca="false">Q17+R17+S17+T17+U17+V17+W17+X17+AA17</f>
        <v>0.554867365963873</v>
      </c>
      <c r="AC17" s="31" t="n">
        <f aca="false">AB17*Inputs!$C$8</f>
        <v>77681.4312349423</v>
      </c>
      <c r="AD17" s="31" t="n">
        <f aca="false">AB17*Inputs!$C$5</f>
        <v>30517.705128013</v>
      </c>
      <c r="AE17" s="45" t="n">
        <f aca="false">RANK(AB17,$AB$7:$AB$82,1)</f>
        <v>42</v>
      </c>
      <c r="AF17" s="41" t="n">
        <v>30.4</v>
      </c>
      <c r="AG17" s="41" t="n">
        <v>64.8</v>
      </c>
      <c r="AH17" s="46" t="n">
        <v>55</v>
      </c>
      <c r="AI17" s="51" t="s">
        <v>234</v>
      </c>
      <c r="AJ17" s="47" t="n">
        <f aca="false">MIN(G17,G17*Depreciation!$E$33*F17)</f>
        <v>8270.55976574649</v>
      </c>
      <c r="AK17" s="48" t="n">
        <f aca="false">IFERROR((G17-AJ17)/(2*Inputs!$C$5),0)</f>
        <v>0.215722183947759</v>
      </c>
    </row>
    <row r="18" customFormat="false" ht="25.5" hidden="false" customHeight="true" outlineLevel="0" collapsed="false">
      <c r="A18" s="35" t="s">
        <v>235</v>
      </c>
      <c r="B18" s="35" t="s">
        <v>236</v>
      </c>
      <c r="C18" s="49" t="s">
        <v>208</v>
      </c>
      <c r="D18" s="24" t="n">
        <v>0.51</v>
      </c>
      <c r="E18" s="38" t="s">
        <v>231</v>
      </c>
      <c r="F18" s="39" t="n">
        <f aca="false">(1-D18)/(1-Inputs!$C$54)</f>
        <v>0.841924398625429</v>
      </c>
      <c r="G18" s="40" t="n">
        <v>38000</v>
      </c>
      <c r="H18" s="41" t="n">
        <v>22.5</v>
      </c>
      <c r="I18" s="42" t="s">
        <v>187</v>
      </c>
      <c r="J18" s="42" t="s">
        <v>232</v>
      </c>
      <c r="K18" s="42" t="s">
        <v>189</v>
      </c>
      <c r="L18" s="42" t="s">
        <v>226</v>
      </c>
      <c r="M18" s="38" t="s">
        <v>227</v>
      </c>
      <c r="N18" s="43" t="s">
        <v>237</v>
      </c>
      <c r="O18" s="31" t="n">
        <f aca="false">MIN(G18,G18*Depreciation!$C$23*F18)</f>
        <v>8199.12164417438</v>
      </c>
      <c r="P18" s="31" t="n">
        <f aca="false">G18-O18</f>
        <v>29800.8783558256</v>
      </c>
      <c r="Q18" s="22" t="n">
        <f aca="false">IFERROR(P18/Inputs!$C$8,0)</f>
        <v>0.212863416827326</v>
      </c>
      <c r="R18" s="22" t="n">
        <f aca="false">IFERROR(IF(I18="Diesel",Inputs!$C$14,Inputs!$C$13)/H18,0)</f>
        <v>0.157777777777778</v>
      </c>
      <c r="S18" s="22" t="n">
        <f aca="false">IFERROR(IF(J18="Truck",Inputs!$C$16,Inputs!$C$15)/Inputs!$C$17,0)</f>
        <v>0.0163636363636364</v>
      </c>
      <c r="T18" s="22" t="n">
        <f aca="false">Inputs!$C$18</f>
        <v>0.08</v>
      </c>
      <c r="U18" s="22" t="n">
        <f aca="false">Inputs!$C$29</f>
        <v>0.0557142857142857</v>
      </c>
      <c r="V18" s="22" t="n">
        <f aca="false">IFERROR(Inputs!$C$19/Inputs!$C$5,0)</f>
        <v>0.0290909090909091</v>
      </c>
      <c r="W18" s="22" t="n">
        <f aca="false">IFERROR(Inputs!$C$20/Inputs!$C$5,0)</f>
        <v>0.00818181818181818</v>
      </c>
      <c r="X18" s="22" t="n">
        <f aca="false">IFERROR(G18*Inputs!$C$46/Inputs!$C$8,0)</f>
        <v>0.019</v>
      </c>
      <c r="Y18" s="22" t="n">
        <f aca="false">IFERROR((G18+O18)/2*Inputs!$C$33*Inputs!$C$9/Inputs!$C$8,0)</f>
        <v>0.0188996406726168</v>
      </c>
      <c r="Z18" s="22" t="n">
        <f aca="false">IFERROR((G18*(1-Inputs!$C$35)*Inputs!$C$36*Inputs!$C$34*Inputs!$C$9+G18*Inputs!$C$35*Inputs!$C$33*Inputs!$C$9)/Inputs!$C$8,0)</f>
        <v>0.0259781818181818</v>
      </c>
      <c r="AA18" s="22" t="n">
        <f aca="false">IF(Inputs!$C$32="Cash",Y18,Z18)</f>
        <v>0.0188996406726168</v>
      </c>
      <c r="AB18" s="44" t="n">
        <f aca="false">Q18+R18+S18+T18+U18+V18+W18+X18+AA18</f>
        <v>0.59789148462837</v>
      </c>
      <c r="AC18" s="31" t="n">
        <f aca="false">AB18*Inputs!$C$8</f>
        <v>83704.8078479718</v>
      </c>
      <c r="AD18" s="31" t="n">
        <f aca="false">AB18*Inputs!$C$5</f>
        <v>32884.0316545603</v>
      </c>
      <c r="AE18" s="45" t="n">
        <f aca="false">RANK(AB18,$AB$7:$AB$82,1)</f>
        <v>56</v>
      </c>
      <c r="AF18" s="41" t="n">
        <v>30.4</v>
      </c>
      <c r="AG18" s="41" t="n">
        <v>64.8</v>
      </c>
      <c r="AH18" s="46" t="n">
        <v>55</v>
      </c>
      <c r="AI18" s="51" t="s">
        <v>234</v>
      </c>
      <c r="AJ18" s="47" t="n">
        <f aca="false">MIN(G18,G18*Depreciation!$E$33*F18)</f>
        <v>9821.28972182396</v>
      </c>
      <c r="AK18" s="48" t="n">
        <f aca="false">IFERROR((G18-AJ18)/(2*Inputs!$C$5),0)</f>
        <v>0.256170093437964</v>
      </c>
    </row>
    <row r="19" customFormat="false" ht="25.5" hidden="false" customHeight="true" outlineLevel="0" collapsed="false">
      <c r="A19" s="35" t="s">
        <v>238</v>
      </c>
      <c r="B19" s="35" t="s">
        <v>239</v>
      </c>
      <c r="C19" s="50" t="s">
        <v>220</v>
      </c>
      <c r="D19" s="24" t="n">
        <v>0.51</v>
      </c>
      <c r="E19" s="38" t="s">
        <v>231</v>
      </c>
      <c r="F19" s="39" t="n">
        <f aca="false">(1-D19)/(1-Inputs!$C$54)</f>
        <v>0.841924398625429</v>
      </c>
      <c r="G19" s="40" t="n">
        <v>21000</v>
      </c>
      <c r="H19" s="41" t="n">
        <v>25</v>
      </c>
      <c r="I19" s="42" t="s">
        <v>187</v>
      </c>
      <c r="J19" s="42" t="s">
        <v>232</v>
      </c>
      <c r="K19" s="42" t="s">
        <v>240</v>
      </c>
      <c r="L19" s="42" t="s">
        <v>226</v>
      </c>
      <c r="M19" s="38" t="s">
        <v>227</v>
      </c>
      <c r="N19" s="43" t="s">
        <v>241</v>
      </c>
      <c r="O19" s="31" t="n">
        <f aca="false">MIN(G19,G19*Depreciation!$C$23*F19)</f>
        <v>4531.09354020163</v>
      </c>
      <c r="P19" s="31" t="n">
        <f aca="false">G19-O19</f>
        <v>16468.9064597984</v>
      </c>
      <c r="Q19" s="22" t="n">
        <f aca="false">IFERROR(P19/Inputs!$C$8,0)</f>
        <v>0.117635046141417</v>
      </c>
      <c r="R19" s="22" t="n">
        <f aca="false">IFERROR(IF(I19="Diesel",Inputs!$C$14,Inputs!$C$13)/H19,0)</f>
        <v>0.142</v>
      </c>
      <c r="S19" s="22" t="n">
        <f aca="false">IFERROR(IF(J19="Truck",Inputs!$C$16,Inputs!$C$15)/Inputs!$C$17,0)</f>
        <v>0.0163636363636364</v>
      </c>
      <c r="T19" s="22" t="n">
        <f aca="false">Inputs!$C$18</f>
        <v>0.08</v>
      </c>
      <c r="U19" s="22" t="n">
        <f aca="false">Inputs!$C$29</f>
        <v>0.0557142857142857</v>
      </c>
      <c r="V19" s="22" t="n">
        <f aca="false">IFERROR(Inputs!$C$19/Inputs!$C$5,0)</f>
        <v>0.0290909090909091</v>
      </c>
      <c r="W19" s="22" t="n">
        <f aca="false">IFERROR(Inputs!$C$20/Inputs!$C$5,0)</f>
        <v>0.00818181818181818</v>
      </c>
      <c r="X19" s="22" t="n">
        <f aca="false">IFERROR(G19*Inputs!$C$46/Inputs!$C$8,0)</f>
        <v>0.0105</v>
      </c>
      <c r="Y19" s="22" t="n">
        <f aca="false">IFERROR((G19+O19)/2*Inputs!$C$33*Inputs!$C$9/Inputs!$C$8,0)</f>
        <v>0.0104445382664461</v>
      </c>
      <c r="Z19" s="22" t="n">
        <f aca="false">IFERROR((G19*(1-Inputs!$C$35)*Inputs!$C$36*Inputs!$C$34*Inputs!$C$9+G19*Inputs!$C$35*Inputs!$C$33*Inputs!$C$9)/Inputs!$C$8,0)</f>
        <v>0.0143563636363636</v>
      </c>
      <c r="AA19" s="22" t="n">
        <f aca="false">IF(Inputs!$C$32="Cash",Y19,Z19)</f>
        <v>0.0104445382664461</v>
      </c>
      <c r="AB19" s="44" t="n">
        <f aca="false">Q19+R19+S19+T19+U19+V19+W19+X19+AA19</f>
        <v>0.469930233758512</v>
      </c>
      <c r="AC19" s="31" t="n">
        <f aca="false">AB19*Inputs!$C$8</f>
        <v>65790.2327261917</v>
      </c>
      <c r="AD19" s="31" t="n">
        <f aca="false">AB19*Inputs!$C$5</f>
        <v>25846.1628567182</v>
      </c>
      <c r="AE19" s="45" t="n">
        <f aca="false">RANK(AB19,$AB$7:$AB$82,1)</f>
        <v>11</v>
      </c>
      <c r="AF19" s="41" t="n">
        <v>17.4</v>
      </c>
      <c r="AG19" s="41" t="n">
        <v>41.7</v>
      </c>
      <c r="AH19" s="46" t="n">
        <v>57.5</v>
      </c>
      <c r="AI19" s="51" t="s">
        <v>234</v>
      </c>
      <c r="AJ19" s="47" t="n">
        <f aca="false">MIN(G19,G19*Depreciation!$E$33*F19)</f>
        <v>5427.55484627114</v>
      </c>
      <c r="AK19" s="48" t="n">
        <f aca="false">IFERROR((G19-AJ19)/(2*Inputs!$C$5),0)</f>
        <v>0.141567683215717</v>
      </c>
    </row>
    <row r="20" customFormat="false" ht="25.5" hidden="false" customHeight="true" outlineLevel="0" collapsed="false">
      <c r="A20" s="35" t="s">
        <v>242</v>
      </c>
      <c r="B20" s="35" t="s">
        <v>239</v>
      </c>
      <c r="C20" s="50" t="s">
        <v>220</v>
      </c>
      <c r="D20" s="24" t="n">
        <v>0.51</v>
      </c>
      <c r="E20" s="38" t="s">
        <v>231</v>
      </c>
      <c r="F20" s="39" t="n">
        <f aca="false">(1-D20)/(1-Inputs!$C$54)</f>
        <v>0.841924398625429</v>
      </c>
      <c r="G20" s="40" t="n">
        <v>19000</v>
      </c>
      <c r="H20" s="41" t="n">
        <v>27</v>
      </c>
      <c r="I20" s="42" t="s">
        <v>187</v>
      </c>
      <c r="J20" s="42" t="s">
        <v>232</v>
      </c>
      <c r="K20" s="42" t="s">
        <v>240</v>
      </c>
      <c r="L20" s="42" t="s">
        <v>226</v>
      </c>
      <c r="M20" s="38" t="s">
        <v>227</v>
      </c>
      <c r="N20" s="43" t="s">
        <v>243</v>
      </c>
      <c r="O20" s="31" t="n">
        <f aca="false">MIN(G20,G20*Depreciation!$C$23*F20)</f>
        <v>4099.56082208719</v>
      </c>
      <c r="P20" s="31" t="n">
        <f aca="false">G20-O20</f>
        <v>14900.4391779128</v>
      </c>
      <c r="Q20" s="22" t="n">
        <f aca="false">IFERROR(P20/Inputs!$C$8,0)</f>
        <v>0.106431708413663</v>
      </c>
      <c r="R20" s="22" t="n">
        <f aca="false">IFERROR(IF(I20="Diesel",Inputs!$C$14,Inputs!$C$13)/H20,0)</f>
        <v>0.131481481481481</v>
      </c>
      <c r="S20" s="22" t="n">
        <f aca="false">IFERROR(IF(J20="Truck",Inputs!$C$16,Inputs!$C$15)/Inputs!$C$17,0)</f>
        <v>0.0163636363636364</v>
      </c>
      <c r="T20" s="22" t="n">
        <f aca="false">Inputs!$C$18</f>
        <v>0.08</v>
      </c>
      <c r="U20" s="22" t="n">
        <f aca="false">Inputs!$C$29</f>
        <v>0.0557142857142857</v>
      </c>
      <c r="V20" s="22" t="n">
        <f aca="false">IFERROR(Inputs!$C$19/Inputs!$C$5,0)</f>
        <v>0.0290909090909091</v>
      </c>
      <c r="W20" s="22" t="n">
        <f aca="false">IFERROR(Inputs!$C$20/Inputs!$C$5,0)</f>
        <v>0.00818181818181818</v>
      </c>
      <c r="X20" s="22" t="n">
        <f aca="false">IFERROR(G20*Inputs!$C$46/Inputs!$C$8,0)</f>
        <v>0.0095</v>
      </c>
      <c r="Y20" s="22" t="n">
        <f aca="false">IFERROR((G20+O20)/2*Inputs!$C$33*Inputs!$C$9/Inputs!$C$8,0)</f>
        <v>0.0094498203363084</v>
      </c>
      <c r="Z20" s="22" t="n">
        <f aca="false">IFERROR((G20*(1-Inputs!$C$35)*Inputs!$C$36*Inputs!$C$34*Inputs!$C$9+G20*Inputs!$C$35*Inputs!$C$33*Inputs!$C$9)/Inputs!$C$8,0)</f>
        <v>0.0129890909090909</v>
      </c>
      <c r="AA20" s="22" t="n">
        <f aca="false">IF(Inputs!$C$32="Cash",Y20,Z20)</f>
        <v>0.0094498203363084</v>
      </c>
      <c r="AB20" s="44" t="n">
        <f aca="false">Q20+R20+S20+T20+U20+V20+W20+X20+AA20</f>
        <v>0.446213659582102</v>
      </c>
      <c r="AC20" s="31" t="n">
        <f aca="false">AB20*Inputs!$C$8</f>
        <v>62469.9123414943</v>
      </c>
      <c r="AD20" s="31" t="n">
        <f aca="false">AB20*Inputs!$C$5</f>
        <v>24541.7512770156</v>
      </c>
      <c r="AE20" s="45" t="n">
        <f aca="false">RANK(AB20,$AB$7:$AB$82,1)</f>
        <v>4</v>
      </c>
      <c r="AF20" s="41" t="n">
        <v>17.4</v>
      </c>
      <c r="AG20" s="41" t="n">
        <v>32.4</v>
      </c>
      <c r="AH20" s="46" t="n">
        <v>58.5</v>
      </c>
      <c r="AI20" s="51" t="s">
        <v>234</v>
      </c>
      <c r="AJ20" s="47" t="n">
        <f aca="false">MIN(G20,G20*Depreciation!$E$33*F20)</f>
        <v>4910.64486091198</v>
      </c>
      <c r="AK20" s="48" t="n">
        <f aca="false">IFERROR((G20-AJ20)/(2*Inputs!$C$5),0)</f>
        <v>0.128085046718982</v>
      </c>
    </row>
    <row r="21" customFormat="false" ht="25.5" hidden="false" customHeight="true" outlineLevel="0" collapsed="false">
      <c r="A21" s="35" t="s">
        <v>244</v>
      </c>
      <c r="B21" s="35" t="s">
        <v>245</v>
      </c>
      <c r="C21" s="49" t="s">
        <v>208</v>
      </c>
      <c r="D21" s="24" t="n">
        <v>0.356</v>
      </c>
      <c r="E21" s="38" t="s">
        <v>198</v>
      </c>
      <c r="F21" s="39" t="n">
        <f aca="false">(1-D21)/(1-Inputs!$C$54)</f>
        <v>1.10652920962199</v>
      </c>
      <c r="G21" s="40" t="n">
        <v>34000</v>
      </c>
      <c r="H21" s="41" t="n">
        <v>21</v>
      </c>
      <c r="I21" s="42" t="s">
        <v>187</v>
      </c>
      <c r="J21" s="42" t="s">
        <v>188</v>
      </c>
      <c r="K21" s="42" t="s">
        <v>189</v>
      </c>
      <c r="L21" s="42" t="s">
        <v>226</v>
      </c>
      <c r="M21" s="38" t="s">
        <v>227</v>
      </c>
      <c r="N21" s="43" t="s">
        <v>246</v>
      </c>
      <c r="O21" s="31" t="n">
        <f aca="false">MIN(G21,G21*Depreciation!$C$23*F21)</f>
        <v>9641.6738732998</v>
      </c>
      <c r="P21" s="31" t="n">
        <f aca="false">G21-O21</f>
        <v>24358.3261267002</v>
      </c>
      <c r="Q21" s="22" t="n">
        <f aca="false">IFERROR(P21/Inputs!$C$8,0)</f>
        <v>0.173988043762144</v>
      </c>
      <c r="R21" s="22" t="n">
        <f aca="false">IFERROR(IF(I21="Diesel",Inputs!$C$14,Inputs!$C$13)/H21,0)</f>
        <v>0.169047619047619</v>
      </c>
      <c r="S21" s="22" t="n">
        <f aca="false">IFERROR(IF(J21="Truck",Inputs!$C$16,Inputs!$C$15)/Inputs!$C$17,0)</f>
        <v>0.0236363636363636</v>
      </c>
      <c r="T21" s="22" t="n">
        <f aca="false">Inputs!$C$18</f>
        <v>0.08</v>
      </c>
      <c r="U21" s="22" t="n">
        <f aca="false">Inputs!$C$29</f>
        <v>0.0557142857142857</v>
      </c>
      <c r="V21" s="22" t="n">
        <f aca="false">IFERROR(Inputs!$C$19/Inputs!$C$5,0)</f>
        <v>0.0290909090909091</v>
      </c>
      <c r="W21" s="22" t="n">
        <f aca="false">IFERROR(Inputs!$C$20/Inputs!$C$5,0)</f>
        <v>0.00818181818181818</v>
      </c>
      <c r="X21" s="22" t="n">
        <f aca="false">IFERROR(G21*Inputs!$C$46/Inputs!$C$8,0)</f>
        <v>0.017</v>
      </c>
      <c r="Y21" s="22" t="n">
        <f aca="false">IFERROR((G21+O21)/2*Inputs!$C$33*Inputs!$C$9/Inputs!$C$8,0)</f>
        <v>0.0178534120390772</v>
      </c>
      <c r="Z21" s="22" t="n">
        <f aca="false">IFERROR((G21*(1-Inputs!$C$35)*Inputs!$C$36*Inputs!$C$34*Inputs!$C$9+G21*Inputs!$C$35*Inputs!$C$33*Inputs!$C$9)/Inputs!$C$8,0)</f>
        <v>0.0232436363636364</v>
      </c>
      <c r="AA21" s="22" t="n">
        <f aca="false">IF(Inputs!$C$32="Cash",Y21,Z21)</f>
        <v>0.0178534120390772</v>
      </c>
      <c r="AB21" s="44" t="n">
        <f aca="false">Q21+R21+S21+T21+U21+V21+W21+X21+AA21</f>
        <v>0.574512451472217</v>
      </c>
      <c r="AC21" s="31" t="n">
        <f aca="false">AB21*Inputs!$C$8</f>
        <v>80431.7432061104</v>
      </c>
      <c r="AD21" s="31" t="n">
        <f aca="false">AB21*Inputs!$C$5</f>
        <v>31598.1848309719</v>
      </c>
      <c r="AE21" s="45" t="n">
        <f aca="false">RANK(AB21,$AB$7:$AB$82,1)</f>
        <v>48</v>
      </c>
      <c r="AF21" s="41" t="n">
        <v>42.4</v>
      </c>
      <c r="AG21" s="41" t="n">
        <v>0</v>
      </c>
      <c r="AH21" s="46" t="n">
        <v>62</v>
      </c>
      <c r="AI21" s="51" t="s">
        <v>234</v>
      </c>
      <c r="AJ21" s="47" t="n">
        <f aca="false">MIN(G21,G21*Depreciation!$E$33*F21)</f>
        <v>11549.245958596</v>
      </c>
      <c r="AK21" s="48" t="n">
        <f aca="false">IFERROR((G21-AJ21)/(2*Inputs!$C$5),0)</f>
        <v>0.204097764012764</v>
      </c>
    </row>
    <row r="22" customFormat="false" ht="25.5" hidden="false" customHeight="true" outlineLevel="0" collapsed="false">
      <c r="A22" s="35" t="s">
        <v>247</v>
      </c>
      <c r="B22" s="35" t="s">
        <v>248</v>
      </c>
      <c r="C22" s="49" t="s">
        <v>208</v>
      </c>
      <c r="D22" s="24" t="n">
        <v>0.324</v>
      </c>
      <c r="E22" s="38" t="s">
        <v>198</v>
      </c>
      <c r="F22" s="39" t="n">
        <f aca="false">(1-D22)/(1-Inputs!$C$54)</f>
        <v>1.16151202749141</v>
      </c>
      <c r="G22" s="40" t="n">
        <v>32000</v>
      </c>
      <c r="H22" s="41" t="n">
        <v>18</v>
      </c>
      <c r="I22" s="42" t="s">
        <v>187</v>
      </c>
      <c r="J22" s="42" t="s">
        <v>188</v>
      </c>
      <c r="K22" s="42" t="s">
        <v>249</v>
      </c>
      <c r="L22" s="42" t="s">
        <v>250</v>
      </c>
      <c r="M22" s="38" t="s">
        <v>251</v>
      </c>
      <c r="N22" s="43" t="s">
        <v>252</v>
      </c>
      <c r="O22" s="31" t="n">
        <f aca="false">MIN(G22,G22*Depreciation!$C$23*F22)</f>
        <v>9525.42424311387</v>
      </c>
      <c r="P22" s="31" t="n">
        <f aca="false">G22-O22</f>
        <v>22474.5757568861</v>
      </c>
      <c r="Q22" s="22" t="n">
        <f aca="false">IFERROR(P22/Inputs!$C$8,0)</f>
        <v>0.160532683977758</v>
      </c>
      <c r="R22" s="22" t="n">
        <f aca="false">IFERROR(IF(I22="Diesel",Inputs!$C$14,Inputs!$C$13)/H22,0)</f>
        <v>0.197222222222222</v>
      </c>
      <c r="S22" s="22" t="n">
        <f aca="false">IFERROR(IF(J22="Truck",Inputs!$C$16,Inputs!$C$15)/Inputs!$C$17,0)</f>
        <v>0.0236363636363636</v>
      </c>
      <c r="T22" s="22" t="n">
        <f aca="false">Inputs!$C$18</f>
        <v>0.08</v>
      </c>
      <c r="U22" s="22" t="n">
        <f aca="false">Inputs!$C$29</f>
        <v>0.0557142857142857</v>
      </c>
      <c r="V22" s="22" t="n">
        <f aca="false">IFERROR(Inputs!$C$19/Inputs!$C$5,0)</f>
        <v>0.0290909090909091</v>
      </c>
      <c r="W22" s="22" t="n">
        <f aca="false">IFERROR(Inputs!$C$20/Inputs!$C$5,0)</f>
        <v>0.00818181818181818</v>
      </c>
      <c r="X22" s="22" t="n">
        <f aca="false">IFERROR(G22*Inputs!$C$46/Inputs!$C$8,0)</f>
        <v>0.016</v>
      </c>
      <c r="Y22" s="22" t="n">
        <f aca="false">IFERROR((G22+O22)/2*Inputs!$C$33*Inputs!$C$9/Inputs!$C$8,0)</f>
        <v>0.0169876735540011</v>
      </c>
      <c r="Z22" s="22" t="n">
        <f aca="false">IFERROR((G22*(1-Inputs!$C$35)*Inputs!$C$36*Inputs!$C$34*Inputs!$C$9+G22*Inputs!$C$35*Inputs!$C$33*Inputs!$C$9)/Inputs!$C$8,0)</f>
        <v>0.0218763636363636</v>
      </c>
      <c r="AA22" s="22" t="n">
        <f aca="false">IF(Inputs!$C$32="Cash",Y22,Z22)</f>
        <v>0.0169876735540011</v>
      </c>
      <c r="AB22" s="44" t="n">
        <f aca="false">Q22+R22+S22+T22+U22+V22+W22+X22+AA22</f>
        <v>0.587365956377358</v>
      </c>
      <c r="AC22" s="31" t="n">
        <f aca="false">AB22*Inputs!$C$8</f>
        <v>82231.2338928301</v>
      </c>
      <c r="AD22" s="31" t="n">
        <f aca="false">AB22*Inputs!$C$5</f>
        <v>32305.1276007547</v>
      </c>
      <c r="AE22" s="45" t="n">
        <f aca="false">RANK(AB22,$AB$7:$AB$82,1)</f>
        <v>52</v>
      </c>
      <c r="AF22" s="41" t="n">
        <v>42.4</v>
      </c>
      <c r="AG22" s="41" t="n">
        <v>0</v>
      </c>
      <c r="AH22" s="46" t="n">
        <v>61.5</v>
      </c>
      <c r="AI22" s="38" t="s">
        <v>193</v>
      </c>
      <c r="AJ22" s="47" t="n">
        <f aca="false">MIN(G22,G22*Depreciation!$E$33*F22)</f>
        <v>11409.9967380503</v>
      </c>
      <c r="AK22" s="48" t="n">
        <f aca="false">IFERROR((G22-AJ22)/(2*Inputs!$C$5),0)</f>
        <v>0.187181847835907</v>
      </c>
    </row>
    <row r="23" customFormat="false" ht="25.5" hidden="false" customHeight="true" outlineLevel="0" collapsed="false">
      <c r="A23" s="35" t="s">
        <v>253</v>
      </c>
      <c r="B23" s="35" t="s">
        <v>254</v>
      </c>
      <c r="C23" s="50" t="s">
        <v>220</v>
      </c>
      <c r="D23" s="24" t="n">
        <v>0.51</v>
      </c>
      <c r="E23" s="38" t="s">
        <v>225</v>
      </c>
      <c r="F23" s="39" t="n">
        <f aca="false">(1-D23)/(1-Inputs!$C$54)</f>
        <v>0.841924398625429</v>
      </c>
      <c r="G23" s="40" t="n">
        <v>35000</v>
      </c>
      <c r="H23" s="41" t="n">
        <v>20.5</v>
      </c>
      <c r="I23" s="42" t="s">
        <v>255</v>
      </c>
      <c r="J23" s="42" t="s">
        <v>188</v>
      </c>
      <c r="K23" s="42" t="s">
        <v>189</v>
      </c>
      <c r="L23" s="42" t="s">
        <v>226</v>
      </c>
      <c r="M23" s="38" t="s">
        <v>227</v>
      </c>
      <c r="N23" s="43" t="s">
        <v>256</v>
      </c>
      <c r="O23" s="31" t="n">
        <f aca="false">MIN(G23,G23*Depreciation!$C$23*F23)</f>
        <v>7551.82256700272</v>
      </c>
      <c r="P23" s="31" t="n">
        <f aca="false">G23-O23</f>
        <v>27448.1774329973</v>
      </c>
      <c r="Q23" s="22" t="n">
        <f aca="false">IFERROR(P23/Inputs!$C$8,0)</f>
        <v>0.196058410235695</v>
      </c>
      <c r="R23" s="22" t="n">
        <f aca="false">IFERROR(IF(I23="Diesel",Inputs!$C$14,Inputs!$C$13)/H23,0)</f>
        <v>0.173170731707317</v>
      </c>
      <c r="S23" s="22" t="n">
        <f aca="false">IFERROR(IF(J23="Truck",Inputs!$C$16,Inputs!$C$15)/Inputs!$C$17,0)</f>
        <v>0.0236363636363636</v>
      </c>
      <c r="T23" s="22" t="n">
        <f aca="false">Inputs!$C$18</f>
        <v>0.08</v>
      </c>
      <c r="U23" s="22" t="n">
        <f aca="false">Inputs!$C$29</f>
        <v>0.0557142857142857</v>
      </c>
      <c r="V23" s="22" t="n">
        <f aca="false">IFERROR(Inputs!$C$19/Inputs!$C$5,0)</f>
        <v>0.0290909090909091</v>
      </c>
      <c r="W23" s="22" t="n">
        <f aca="false">IFERROR(Inputs!$C$20/Inputs!$C$5,0)</f>
        <v>0.00818181818181818</v>
      </c>
      <c r="X23" s="22" t="n">
        <f aca="false">IFERROR(G23*Inputs!$C$46/Inputs!$C$8,0)</f>
        <v>0.0175</v>
      </c>
      <c r="Y23" s="22" t="n">
        <f aca="false">IFERROR((G23+O23)/2*Inputs!$C$33*Inputs!$C$9/Inputs!$C$8,0)</f>
        <v>0.0174075637774102</v>
      </c>
      <c r="Z23" s="22" t="n">
        <f aca="false">IFERROR((G23*(1-Inputs!$C$35)*Inputs!$C$36*Inputs!$C$34*Inputs!$C$9+G23*Inputs!$C$35*Inputs!$C$33*Inputs!$C$9)/Inputs!$C$8,0)</f>
        <v>0.0239272727272727</v>
      </c>
      <c r="AA23" s="22" t="n">
        <f aca="false">IF(Inputs!$C$32="Cash",Y23,Z23)</f>
        <v>0.0174075637774102</v>
      </c>
      <c r="AB23" s="44" t="n">
        <f aca="false">Q23+R23+S23+T23+U23+V23+W23+X23+AA23</f>
        <v>0.600760082343799</v>
      </c>
      <c r="AC23" s="31" t="n">
        <f aca="false">AB23*Inputs!$C$8</f>
        <v>84106.4115281318</v>
      </c>
      <c r="AD23" s="31" t="n">
        <f aca="false">AB23*Inputs!$C$5</f>
        <v>33041.8045289089</v>
      </c>
      <c r="AE23" s="45" t="n">
        <f aca="false">RANK(AB23,$AB$7:$AB$82,1)</f>
        <v>57</v>
      </c>
      <c r="AF23" s="41" t="n">
        <v>26.4</v>
      </c>
      <c r="AG23" s="41" t="n">
        <v>0</v>
      </c>
      <c r="AH23" s="46" t="n">
        <v>61</v>
      </c>
      <c r="AI23" s="38" t="s">
        <v>193</v>
      </c>
      <c r="AJ23" s="47" t="n">
        <f aca="false">MIN(G23,G23*Depreciation!$E$33*F23)</f>
        <v>9045.92474378523</v>
      </c>
      <c r="AK23" s="48" t="n">
        <f aca="false">IFERROR((G23-AJ23)/(2*Inputs!$C$5),0)</f>
        <v>0.235946138692862</v>
      </c>
    </row>
    <row r="24" customFormat="false" ht="25.5" hidden="false" customHeight="true" outlineLevel="0" collapsed="false">
      <c r="A24" s="35" t="s">
        <v>257</v>
      </c>
      <c r="B24" s="35" t="s">
        <v>236</v>
      </c>
      <c r="C24" s="50" t="s">
        <v>220</v>
      </c>
      <c r="D24" s="24" t="n">
        <v>0.51</v>
      </c>
      <c r="E24" s="38" t="s">
        <v>231</v>
      </c>
      <c r="F24" s="39" t="n">
        <f aca="false">(1-D24)/(1-Inputs!$C$54)</f>
        <v>0.841924398625429</v>
      </c>
      <c r="G24" s="40" t="n">
        <v>32000</v>
      </c>
      <c r="H24" s="41" t="n">
        <v>26</v>
      </c>
      <c r="I24" s="42" t="s">
        <v>187</v>
      </c>
      <c r="J24" s="42" t="s">
        <v>232</v>
      </c>
      <c r="K24" s="42" t="s">
        <v>189</v>
      </c>
      <c r="L24" s="42" t="s">
        <v>226</v>
      </c>
      <c r="M24" s="38" t="s">
        <v>227</v>
      </c>
      <c r="N24" s="43" t="s">
        <v>258</v>
      </c>
      <c r="O24" s="31" t="n">
        <f aca="false">MIN(G24,G24*Depreciation!$C$23*F24)</f>
        <v>6904.52348983106</v>
      </c>
      <c r="P24" s="31" t="n">
        <f aca="false">G24-O24</f>
        <v>25095.4765101689</v>
      </c>
      <c r="Q24" s="22" t="n">
        <f aca="false">IFERROR(P24/Inputs!$C$8,0)</f>
        <v>0.179253403644064</v>
      </c>
      <c r="R24" s="22" t="n">
        <f aca="false">IFERROR(IF(I24="Diesel",Inputs!$C$14,Inputs!$C$13)/H24,0)</f>
        <v>0.136538461538462</v>
      </c>
      <c r="S24" s="22" t="n">
        <f aca="false">IFERROR(IF(J24="Truck",Inputs!$C$16,Inputs!$C$15)/Inputs!$C$17,0)</f>
        <v>0.0163636363636364</v>
      </c>
      <c r="T24" s="22" t="n">
        <f aca="false">Inputs!$C$18</f>
        <v>0.08</v>
      </c>
      <c r="U24" s="22" t="n">
        <f aca="false">Inputs!$C$29</f>
        <v>0.0557142857142857</v>
      </c>
      <c r="V24" s="22" t="n">
        <f aca="false">IFERROR(Inputs!$C$19/Inputs!$C$5,0)</f>
        <v>0.0290909090909091</v>
      </c>
      <c r="W24" s="22" t="n">
        <f aca="false">IFERROR(Inputs!$C$20/Inputs!$C$5,0)</f>
        <v>0.00818181818181818</v>
      </c>
      <c r="X24" s="22" t="n">
        <f aca="false">IFERROR(G24*Inputs!$C$46/Inputs!$C$8,0)</f>
        <v>0.016</v>
      </c>
      <c r="Y24" s="22" t="n">
        <f aca="false">IFERROR((G24+O24)/2*Inputs!$C$33*Inputs!$C$9/Inputs!$C$8,0)</f>
        <v>0.0159154868822036</v>
      </c>
      <c r="Z24" s="22" t="n">
        <f aca="false">IFERROR((G24*(1-Inputs!$C$35)*Inputs!$C$36*Inputs!$C$34*Inputs!$C$9+G24*Inputs!$C$35*Inputs!$C$33*Inputs!$C$9)/Inputs!$C$8,0)</f>
        <v>0.0218763636363636</v>
      </c>
      <c r="AA24" s="22" t="n">
        <f aca="false">IF(Inputs!$C$32="Cash",Y24,Z24)</f>
        <v>0.0159154868822036</v>
      </c>
      <c r="AB24" s="44" t="n">
        <f aca="false">Q24+R24+S24+T24+U24+V24+W24+X24+AA24</f>
        <v>0.537058001415378</v>
      </c>
      <c r="AC24" s="31" t="n">
        <f aca="false">AB24*Inputs!$C$8</f>
        <v>75188.120198153</v>
      </c>
      <c r="AD24" s="31" t="n">
        <f aca="false">AB24*Inputs!$C$5</f>
        <v>29538.1900778458</v>
      </c>
      <c r="AE24" s="45" t="n">
        <f aca="false">RANK(AB24,$AB$7:$AB$82,1)</f>
        <v>38</v>
      </c>
      <c r="AF24" s="41" t="n">
        <v>50.7</v>
      </c>
      <c r="AG24" s="41" t="n">
        <v>46.3</v>
      </c>
      <c r="AH24" s="46" t="n">
        <v>57</v>
      </c>
      <c r="AI24" s="38" t="s">
        <v>193</v>
      </c>
      <c r="AJ24" s="47" t="n">
        <f aca="false">MIN(G24,G24*Depreciation!$E$33*F24)</f>
        <v>8270.55976574649</v>
      </c>
      <c r="AK24" s="48" t="n">
        <f aca="false">IFERROR((G24-AJ24)/(2*Inputs!$C$5),0)</f>
        <v>0.215722183947759</v>
      </c>
    </row>
    <row r="25" customFormat="false" ht="25.5" hidden="false" customHeight="true" outlineLevel="0" collapsed="false">
      <c r="A25" s="35" t="s">
        <v>259</v>
      </c>
      <c r="B25" s="35" t="s">
        <v>236</v>
      </c>
      <c r="C25" s="49" t="s">
        <v>208</v>
      </c>
      <c r="D25" s="24" t="n">
        <v>0.51</v>
      </c>
      <c r="E25" s="38" t="s">
        <v>231</v>
      </c>
      <c r="F25" s="39" t="n">
        <f aca="false">(1-D25)/(1-Inputs!$C$54)</f>
        <v>0.841924398625429</v>
      </c>
      <c r="G25" s="40" t="n">
        <v>31000</v>
      </c>
      <c r="H25" s="41" t="n">
        <v>25</v>
      </c>
      <c r="I25" s="42" t="s">
        <v>187</v>
      </c>
      <c r="J25" s="42" t="s">
        <v>232</v>
      </c>
      <c r="K25" s="42" t="s">
        <v>260</v>
      </c>
      <c r="L25" s="42" t="s">
        <v>226</v>
      </c>
      <c r="M25" s="38" t="s">
        <v>227</v>
      </c>
      <c r="N25" s="43" t="s">
        <v>261</v>
      </c>
      <c r="O25" s="31" t="n">
        <f aca="false">MIN(G25,G25*Depreciation!$C$23*F25)</f>
        <v>6688.75713077384</v>
      </c>
      <c r="P25" s="31" t="n">
        <f aca="false">G25-O25</f>
        <v>24311.2428692262</v>
      </c>
      <c r="Q25" s="22" t="n">
        <f aca="false">IFERROR(P25/Inputs!$C$8,0)</f>
        <v>0.173651734780187</v>
      </c>
      <c r="R25" s="22" t="n">
        <f aca="false">IFERROR(IF(I25="Diesel",Inputs!$C$14,Inputs!$C$13)/H25,0)</f>
        <v>0.142</v>
      </c>
      <c r="S25" s="22" t="n">
        <f aca="false">IFERROR(IF(J25="Truck",Inputs!$C$16,Inputs!$C$15)/Inputs!$C$17,0)</f>
        <v>0.0163636363636364</v>
      </c>
      <c r="T25" s="22" t="n">
        <f aca="false">Inputs!$C$18</f>
        <v>0.08</v>
      </c>
      <c r="U25" s="22" t="n">
        <f aca="false">Inputs!$C$29</f>
        <v>0.0557142857142857</v>
      </c>
      <c r="V25" s="22" t="n">
        <f aca="false">IFERROR(Inputs!$C$19/Inputs!$C$5,0)</f>
        <v>0.0290909090909091</v>
      </c>
      <c r="W25" s="22" t="n">
        <f aca="false">IFERROR(Inputs!$C$20/Inputs!$C$5,0)</f>
        <v>0.00818181818181818</v>
      </c>
      <c r="X25" s="22" t="n">
        <f aca="false">IFERROR(G25*Inputs!$C$46/Inputs!$C$8,0)</f>
        <v>0.0155</v>
      </c>
      <c r="Y25" s="22" t="n">
        <f aca="false">IFERROR((G25+O25)/2*Inputs!$C$33*Inputs!$C$9/Inputs!$C$8,0)</f>
        <v>0.0154181279171348</v>
      </c>
      <c r="Z25" s="22" t="n">
        <f aca="false">IFERROR((G25*(1-Inputs!$C$35)*Inputs!$C$36*Inputs!$C$34*Inputs!$C$9+G25*Inputs!$C$35*Inputs!$C$33*Inputs!$C$9)/Inputs!$C$8,0)</f>
        <v>0.0211927272727273</v>
      </c>
      <c r="AA25" s="22" t="n">
        <f aca="false">IF(Inputs!$C$32="Cash",Y25,Z25)</f>
        <v>0.0154181279171348</v>
      </c>
      <c r="AB25" s="44" t="n">
        <f aca="false">Q25+R25+S25+T25+U25+V25+W25+X25+AA25</f>
        <v>0.535920512047971</v>
      </c>
      <c r="AC25" s="31" t="n">
        <f aca="false">AB25*Inputs!$C$8</f>
        <v>75028.8716867159</v>
      </c>
      <c r="AD25" s="31" t="n">
        <f aca="false">AB25*Inputs!$C$5</f>
        <v>29475.6281626384</v>
      </c>
      <c r="AE25" s="45" t="n">
        <f aca="false">RANK(AB25,$AB$7:$AB$82,1)</f>
        <v>37</v>
      </c>
      <c r="AF25" s="41" t="n">
        <v>51.6</v>
      </c>
      <c r="AG25" s="41" t="n">
        <v>65.7</v>
      </c>
      <c r="AH25" s="46" t="n">
        <v>54.9</v>
      </c>
      <c r="AI25" s="38" t="s">
        <v>193</v>
      </c>
      <c r="AJ25" s="47" t="n">
        <f aca="false">MIN(G25,G25*Depreciation!$E$33*F25)</f>
        <v>8012.10477306691</v>
      </c>
      <c r="AK25" s="48" t="n">
        <f aca="false">IFERROR((G25-AJ25)/(2*Inputs!$C$5),0)</f>
        <v>0.208980865699392</v>
      </c>
    </row>
    <row r="26" customFormat="false" ht="25.5" hidden="false" customHeight="true" outlineLevel="0" collapsed="false">
      <c r="A26" s="35" t="s">
        <v>262</v>
      </c>
      <c r="B26" s="35" t="s">
        <v>236</v>
      </c>
      <c r="C26" s="49" t="s">
        <v>208</v>
      </c>
      <c r="D26" s="24" t="n">
        <v>0.51</v>
      </c>
      <c r="E26" s="38" t="s">
        <v>231</v>
      </c>
      <c r="F26" s="39" t="n">
        <f aca="false">(1-D26)/(1-Inputs!$C$54)</f>
        <v>0.841924398625429</v>
      </c>
      <c r="G26" s="40" t="n">
        <v>30000</v>
      </c>
      <c r="H26" s="41" t="n">
        <v>25</v>
      </c>
      <c r="I26" s="42" t="s">
        <v>187</v>
      </c>
      <c r="J26" s="42" t="s">
        <v>232</v>
      </c>
      <c r="K26" s="42" t="s">
        <v>260</v>
      </c>
      <c r="L26" s="42" t="s">
        <v>226</v>
      </c>
      <c r="M26" s="38" t="s">
        <v>227</v>
      </c>
      <c r="N26" s="43" t="s">
        <v>263</v>
      </c>
      <c r="O26" s="31" t="n">
        <f aca="false">MIN(G26,G26*Depreciation!$C$23*F26)</f>
        <v>6472.99077171662</v>
      </c>
      <c r="P26" s="31" t="n">
        <f aca="false">G26-O26</f>
        <v>23527.0092282834</v>
      </c>
      <c r="Q26" s="22" t="n">
        <f aca="false">IFERROR(P26/Inputs!$C$8,0)</f>
        <v>0.16805006591631</v>
      </c>
      <c r="R26" s="22" t="n">
        <f aca="false">IFERROR(IF(I26="Diesel",Inputs!$C$14,Inputs!$C$13)/H26,0)</f>
        <v>0.142</v>
      </c>
      <c r="S26" s="22" t="n">
        <f aca="false">IFERROR(IF(J26="Truck",Inputs!$C$16,Inputs!$C$15)/Inputs!$C$17,0)</f>
        <v>0.0163636363636364</v>
      </c>
      <c r="T26" s="22" t="n">
        <f aca="false">Inputs!$C$18</f>
        <v>0.08</v>
      </c>
      <c r="U26" s="22" t="n">
        <f aca="false">Inputs!$C$29</f>
        <v>0.0557142857142857</v>
      </c>
      <c r="V26" s="22" t="n">
        <f aca="false">IFERROR(Inputs!$C$19/Inputs!$C$5,0)</f>
        <v>0.0290909090909091</v>
      </c>
      <c r="W26" s="22" t="n">
        <f aca="false">IFERROR(Inputs!$C$20/Inputs!$C$5,0)</f>
        <v>0.00818181818181818</v>
      </c>
      <c r="X26" s="22" t="n">
        <f aca="false">IFERROR(G26*Inputs!$C$46/Inputs!$C$8,0)</f>
        <v>0.015</v>
      </c>
      <c r="Y26" s="22" t="n">
        <f aca="false">IFERROR((G26+O26)/2*Inputs!$C$33*Inputs!$C$9/Inputs!$C$8,0)</f>
        <v>0.0149207689520659</v>
      </c>
      <c r="Z26" s="22" t="n">
        <f aca="false">IFERROR((G26*(1-Inputs!$C$35)*Inputs!$C$36*Inputs!$C$34*Inputs!$C$9+G26*Inputs!$C$35*Inputs!$C$33*Inputs!$C$9)/Inputs!$C$8,0)</f>
        <v>0.0205090909090909</v>
      </c>
      <c r="AA26" s="22" t="n">
        <f aca="false">IF(Inputs!$C$32="Cash",Y26,Z26)</f>
        <v>0.0149207689520659</v>
      </c>
      <c r="AB26" s="44" t="n">
        <f aca="false">Q26+R26+S26+T26+U26+V26+W26+X26+AA26</f>
        <v>0.529321484219025</v>
      </c>
      <c r="AC26" s="31" t="n">
        <f aca="false">AB26*Inputs!$C$8</f>
        <v>74105.0077906635</v>
      </c>
      <c r="AD26" s="31" t="n">
        <f aca="false">AB26*Inputs!$C$5</f>
        <v>29112.6816320464</v>
      </c>
      <c r="AE26" s="45" t="n">
        <f aca="false">RANK(AB26,$AB$7:$AB$82,1)</f>
        <v>32</v>
      </c>
      <c r="AF26" s="41" t="n">
        <v>33</v>
      </c>
      <c r="AG26" s="41" t="n">
        <v>79.6</v>
      </c>
      <c r="AH26" s="46" t="n">
        <v>53.4</v>
      </c>
      <c r="AI26" s="38" t="s">
        <v>193</v>
      </c>
      <c r="AJ26" s="47" t="n">
        <f aca="false">MIN(G26,G26*Depreciation!$E$33*F26)</f>
        <v>7753.64978038734</v>
      </c>
      <c r="AK26" s="48" t="n">
        <f aca="false">IFERROR((G26-AJ26)/(2*Inputs!$C$5),0)</f>
        <v>0.202239547451024</v>
      </c>
    </row>
    <row r="27" customFormat="false" ht="25.5" hidden="false" customHeight="true" outlineLevel="0" collapsed="false">
      <c r="A27" s="35" t="s">
        <v>264</v>
      </c>
      <c r="B27" s="35" t="s">
        <v>265</v>
      </c>
      <c r="C27" s="37" t="s">
        <v>185</v>
      </c>
      <c r="D27" s="24" t="n">
        <v>0.463</v>
      </c>
      <c r="E27" s="38" t="s">
        <v>198</v>
      </c>
      <c r="F27" s="39" t="n">
        <f aca="false">(1-D27)/(1-Inputs!$C$54)</f>
        <v>0.922680412371134</v>
      </c>
      <c r="G27" s="40" t="n">
        <v>33000</v>
      </c>
      <c r="H27" s="41" t="n">
        <v>21</v>
      </c>
      <c r="I27" s="42" t="s">
        <v>187</v>
      </c>
      <c r="J27" s="42" t="s">
        <v>232</v>
      </c>
      <c r="K27" s="42" t="s">
        <v>260</v>
      </c>
      <c r="L27" s="42" t="s">
        <v>226</v>
      </c>
      <c r="M27" s="38" t="s">
        <v>227</v>
      </c>
      <c r="N27" s="43" t="s">
        <v>266</v>
      </c>
      <c r="O27" s="31" t="n">
        <f aca="false">MIN(G27,G27*Depreciation!$C$23*F27)</f>
        <v>7803.25642623063</v>
      </c>
      <c r="P27" s="31" t="n">
        <f aca="false">G27-O27</f>
        <v>25196.7435737694</v>
      </c>
      <c r="Q27" s="22" t="n">
        <f aca="false">IFERROR(P27/Inputs!$C$8,0)</f>
        <v>0.179976739812638</v>
      </c>
      <c r="R27" s="22" t="n">
        <f aca="false">IFERROR(IF(I27="Diesel",Inputs!$C$14,Inputs!$C$13)/H27,0)</f>
        <v>0.169047619047619</v>
      </c>
      <c r="S27" s="22" t="n">
        <f aca="false">IFERROR(IF(J27="Truck",Inputs!$C$16,Inputs!$C$15)/Inputs!$C$17,0)</f>
        <v>0.0163636363636364</v>
      </c>
      <c r="T27" s="22" t="n">
        <f aca="false">Inputs!$C$18</f>
        <v>0.08</v>
      </c>
      <c r="U27" s="22" t="n">
        <f aca="false">Inputs!$C$29</f>
        <v>0.0557142857142857</v>
      </c>
      <c r="V27" s="22" t="n">
        <f aca="false">IFERROR(Inputs!$C$19/Inputs!$C$5,0)</f>
        <v>0.0290909090909091</v>
      </c>
      <c r="W27" s="22" t="n">
        <f aca="false">IFERROR(Inputs!$C$20/Inputs!$C$5,0)</f>
        <v>0.00818181818181818</v>
      </c>
      <c r="X27" s="22" t="n">
        <f aca="false">IFERROR(G27*Inputs!$C$46/Inputs!$C$8,0)</f>
        <v>0.0165</v>
      </c>
      <c r="Y27" s="22" t="n">
        <f aca="false">IFERROR((G27+O27)/2*Inputs!$C$33*Inputs!$C$9/Inputs!$C$8,0)</f>
        <v>0.0166922412652762</v>
      </c>
      <c r="Z27" s="22" t="n">
        <f aca="false">IFERROR((G27*(1-Inputs!$C$35)*Inputs!$C$36*Inputs!$C$34*Inputs!$C$9+G27*Inputs!$C$35*Inputs!$C$33*Inputs!$C$9)/Inputs!$C$8,0)</f>
        <v>0.02256</v>
      </c>
      <c r="AA27" s="22" t="n">
        <f aca="false">IF(Inputs!$C$32="Cash",Y27,Z27)</f>
        <v>0.0166922412652762</v>
      </c>
      <c r="AB27" s="44" t="n">
        <f aca="false">Q27+R27+S27+T27+U27+V27+W27+X27+AA27</f>
        <v>0.571567249476183</v>
      </c>
      <c r="AC27" s="31" t="n">
        <f aca="false">AB27*Inputs!$C$8</f>
        <v>80019.4149266656</v>
      </c>
      <c r="AD27" s="31" t="n">
        <f aca="false">AB27*Inputs!$C$5</f>
        <v>31436.1987211901</v>
      </c>
      <c r="AE27" s="45" t="n">
        <f aca="false">RANK(AB27,$AB$7:$AB$82,1)</f>
        <v>47</v>
      </c>
      <c r="AF27" s="41" t="n">
        <v>89.4</v>
      </c>
      <c r="AG27" s="41" t="n">
        <v>35.2</v>
      </c>
      <c r="AH27" s="46" t="n">
        <v>58.2</v>
      </c>
      <c r="AI27" s="38" t="s">
        <v>193</v>
      </c>
      <c r="AJ27" s="47" t="n">
        <f aca="false">MIN(G27,G27*Depreciation!$E$33*F27)</f>
        <v>9347.10392913224</v>
      </c>
      <c r="AK27" s="48" t="n">
        <f aca="false">IFERROR((G27-AJ27)/(2*Inputs!$C$5),0)</f>
        <v>0.21502632791698</v>
      </c>
    </row>
    <row r="28" customFormat="false" ht="25.5" hidden="false" customHeight="true" outlineLevel="0" collapsed="false">
      <c r="A28" s="35" t="s">
        <v>267</v>
      </c>
      <c r="B28" s="35" t="s">
        <v>236</v>
      </c>
      <c r="C28" s="37" t="s">
        <v>185</v>
      </c>
      <c r="D28" s="24" t="n">
        <v>0.38</v>
      </c>
      <c r="E28" s="38" t="s">
        <v>225</v>
      </c>
      <c r="F28" s="39" t="n">
        <f aca="false">(1-D28)/(1-Inputs!$C$54)</f>
        <v>1.06529209621993</v>
      </c>
      <c r="G28" s="40" t="n">
        <v>45000</v>
      </c>
      <c r="H28" s="41" t="n">
        <v>32</v>
      </c>
      <c r="I28" s="42" t="s">
        <v>268</v>
      </c>
      <c r="J28" s="42" t="s">
        <v>232</v>
      </c>
      <c r="K28" s="42" t="s">
        <v>260</v>
      </c>
      <c r="L28" s="42" t="s">
        <v>226</v>
      </c>
      <c r="M28" s="38" t="s">
        <v>227</v>
      </c>
      <c r="N28" s="43" t="s">
        <v>269</v>
      </c>
      <c r="O28" s="31" t="n">
        <f aca="false">MIN(G28,G28*Depreciation!$C$23*F28)</f>
        <v>12285.4722810132</v>
      </c>
      <c r="P28" s="31" t="n">
        <f aca="false">G28-O28</f>
        <v>32714.5277189868</v>
      </c>
      <c r="Q28" s="22" t="n">
        <f aca="false">IFERROR(P28/Inputs!$C$8,0)</f>
        <v>0.233675197992763</v>
      </c>
      <c r="R28" s="22" t="n">
        <f aca="false">IFERROR(IF(I28="Diesel",Inputs!$C$14,Inputs!$C$13)/H28,0)</f>
        <v>0.1109375</v>
      </c>
      <c r="S28" s="22" t="n">
        <f aca="false">IFERROR(IF(J28="Truck",Inputs!$C$16,Inputs!$C$15)/Inputs!$C$17,0)</f>
        <v>0.0163636363636364</v>
      </c>
      <c r="T28" s="22" t="n">
        <f aca="false">Inputs!$C$18</f>
        <v>0.08</v>
      </c>
      <c r="U28" s="22" t="n">
        <f aca="false">Inputs!$C$29</f>
        <v>0.0557142857142857</v>
      </c>
      <c r="V28" s="22" t="n">
        <f aca="false">IFERROR(Inputs!$C$19/Inputs!$C$5,0)</f>
        <v>0.0290909090909091</v>
      </c>
      <c r="W28" s="22" t="n">
        <f aca="false">IFERROR(Inputs!$C$20/Inputs!$C$5,0)</f>
        <v>0.00818181818181818</v>
      </c>
      <c r="X28" s="22" t="n">
        <f aca="false">IFERROR(G28*Inputs!$C$46/Inputs!$C$8,0)</f>
        <v>0.0225</v>
      </c>
      <c r="Y28" s="22" t="n">
        <f aca="false">IFERROR((G28+O28)/2*Inputs!$C$33*Inputs!$C$9/Inputs!$C$8,0)</f>
        <v>0.0234349659331418</v>
      </c>
      <c r="Z28" s="22" t="n">
        <f aca="false">IFERROR((G28*(1-Inputs!$C$35)*Inputs!$C$36*Inputs!$C$34*Inputs!$C$9+G28*Inputs!$C$35*Inputs!$C$33*Inputs!$C$9)/Inputs!$C$8,0)</f>
        <v>0.0307636363636364</v>
      </c>
      <c r="AA28" s="22" t="n">
        <f aca="false">IF(Inputs!$C$32="Cash",Y28,Z28)</f>
        <v>0.0234349659331418</v>
      </c>
      <c r="AB28" s="44" t="n">
        <f aca="false">Q28+R28+S28+T28+U28+V28+W28+X28+AA28</f>
        <v>0.579898313276554</v>
      </c>
      <c r="AC28" s="31" t="n">
        <f aca="false">AB28*Inputs!$C$8</f>
        <v>81185.7638587176</v>
      </c>
      <c r="AD28" s="31" t="n">
        <f aca="false">AB28*Inputs!$C$5</f>
        <v>31894.4072302105</v>
      </c>
      <c r="AE28" s="45" t="n">
        <f aca="false">RANK(AB28,$AB$7:$AB$82,1)</f>
        <v>50</v>
      </c>
      <c r="AF28" s="41" t="n">
        <v>100</v>
      </c>
      <c r="AG28" s="41" t="n">
        <v>100</v>
      </c>
      <c r="AH28" s="46" t="n">
        <v>51.2</v>
      </c>
      <c r="AI28" s="38" t="s">
        <v>193</v>
      </c>
      <c r="AJ28" s="47" t="n">
        <f aca="false">MIN(G28,G28*Depreciation!$E$33*F28)</f>
        <v>14716.1108076739</v>
      </c>
      <c r="AK28" s="48" t="n">
        <f aca="false">IFERROR((G28-AJ28)/(2*Inputs!$C$5),0)</f>
        <v>0.275308083566601</v>
      </c>
    </row>
    <row r="29" customFormat="false" ht="25.5" hidden="false" customHeight="true" outlineLevel="0" collapsed="false">
      <c r="A29" s="35" t="s">
        <v>270</v>
      </c>
      <c r="B29" s="35" t="s">
        <v>236</v>
      </c>
      <c r="C29" s="37" t="s">
        <v>185</v>
      </c>
      <c r="D29" s="24" t="n">
        <v>0.421</v>
      </c>
      <c r="E29" s="38" t="s">
        <v>198</v>
      </c>
      <c r="F29" s="39" t="n">
        <f aca="false">(1-D29)/(1-Inputs!$C$54)</f>
        <v>0.994845360824742</v>
      </c>
      <c r="G29" s="40" t="n">
        <v>37000</v>
      </c>
      <c r="H29" s="41" t="n">
        <v>28.5</v>
      </c>
      <c r="I29" s="42" t="s">
        <v>187</v>
      </c>
      <c r="J29" s="42" t="s">
        <v>232</v>
      </c>
      <c r="K29" s="42" t="s">
        <v>260</v>
      </c>
      <c r="L29" s="42" t="s">
        <v>271</v>
      </c>
      <c r="M29" s="38" t="s">
        <v>191</v>
      </c>
      <c r="N29" s="43" t="s">
        <v>272</v>
      </c>
      <c r="O29" s="31" t="n">
        <f aca="false">MIN(G29,G29*Depreciation!$C$23*F29)</f>
        <v>9433.39328588334</v>
      </c>
      <c r="P29" s="31" t="n">
        <f aca="false">G29-O29</f>
        <v>27566.6067141167</v>
      </c>
      <c r="Q29" s="22" t="n">
        <f aca="false">IFERROR(P29/Inputs!$C$8,0)</f>
        <v>0.196904333672262</v>
      </c>
      <c r="R29" s="22" t="n">
        <f aca="false">IFERROR(IF(I29="Diesel",Inputs!$C$14,Inputs!$C$13)/H29,0)</f>
        <v>0.124561403508772</v>
      </c>
      <c r="S29" s="22" t="n">
        <f aca="false">IFERROR(IF(J29="Truck",Inputs!$C$16,Inputs!$C$15)/Inputs!$C$17,0)</f>
        <v>0.0163636363636364</v>
      </c>
      <c r="T29" s="22" t="n">
        <f aca="false">Inputs!$C$18</f>
        <v>0.08</v>
      </c>
      <c r="U29" s="22" t="n">
        <f aca="false">Inputs!$C$29</f>
        <v>0.0557142857142857</v>
      </c>
      <c r="V29" s="22" t="n">
        <f aca="false">IFERROR(Inputs!$C$19/Inputs!$C$5,0)</f>
        <v>0.0290909090909091</v>
      </c>
      <c r="W29" s="22" t="n">
        <f aca="false">IFERROR(Inputs!$C$20/Inputs!$C$5,0)</f>
        <v>0.00818181818181818</v>
      </c>
      <c r="X29" s="22" t="n">
        <f aca="false">IFERROR(G29*Inputs!$C$46/Inputs!$C$8,0)</f>
        <v>0.0185</v>
      </c>
      <c r="Y29" s="22" t="n">
        <f aca="false">IFERROR((G29+O29)/2*Inputs!$C$33*Inputs!$C$9/Inputs!$C$8,0)</f>
        <v>0.0189954790714977</v>
      </c>
      <c r="Z29" s="22" t="n">
        <f aca="false">IFERROR((G29*(1-Inputs!$C$35)*Inputs!$C$36*Inputs!$C$34*Inputs!$C$9+G29*Inputs!$C$35*Inputs!$C$33*Inputs!$C$9)/Inputs!$C$8,0)</f>
        <v>0.0252945454545455</v>
      </c>
      <c r="AA29" s="22" t="n">
        <f aca="false">IF(Inputs!$C$32="Cash",Y29,Z29)</f>
        <v>0.0189954790714977</v>
      </c>
      <c r="AB29" s="44" t="n">
        <f aca="false">Q29+R29+S29+T29+U29+V29+W29+X29+AA29</f>
        <v>0.548311865603181</v>
      </c>
      <c r="AC29" s="31" t="n">
        <f aca="false">AB29*Inputs!$C$8</f>
        <v>76763.6611844453</v>
      </c>
      <c r="AD29" s="31" t="n">
        <f aca="false">AB29*Inputs!$C$5</f>
        <v>30157.1526081749</v>
      </c>
      <c r="AE29" s="45" t="n">
        <f aca="false">RANK(AB29,$AB$7:$AB$82,1)</f>
        <v>40</v>
      </c>
      <c r="AF29" s="41" t="n">
        <v>100</v>
      </c>
      <c r="AG29" s="41" t="n">
        <v>87</v>
      </c>
      <c r="AH29" s="46" t="n">
        <v>52.6</v>
      </c>
      <c r="AI29" s="38" t="s">
        <v>193</v>
      </c>
      <c r="AJ29" s="47" t="n">
        <f aca="false">MIN(G29,G29*Depreciation!$E$33*F29)</f>
        <v>11299.7577717849</v>
      </c>
      <c r="AK29" s="48" t="n">
        <f aca="false">IFERROR((G29-AJ29)/(2*Inputs!$C$5),0)</f>
        <v>0.233638565711046</v>
      </c>
    </row>
    <row r="30" customFormat="false" ht="25.5" hidden="false" customHeight="true" outlineLevel="0" collapsed="false">
      <c r="A30" s="35" t="s">
        <v>273</v>
      </c>
      <c r="B30" s="35" t="s">
        <v>236</v>
      </c>
      <c r="C30" s="37" t="s">
        <v>185</v>
      </c>
      <c r="D30" s="24" t="n">
        <v>0.38</v>
      </c>
      <c r="E30" s="38" t="s">
        <v>198</v>
      </c>
      <c r="F30" s="39" t="n">
        <f aca="false">(1-D30)/(1-Inputs!$C$54)</f>
        <v>1.06529209621993</v>
      </c>
      <c r="G30" s="40" t="n">
        <v>36000</v>
      </c>
      <c r="H30" s="41" t="n">
        <v>34</v>
      </c>
      <c r="I30" s="42" t="s">
        <v>268</v>
      </c>
      <c r="J30" s="42" t="s">
        <v>232</v>
      </c>
      <c r="K30" s="42" t="s">
        <v>260</v>
      </c>
      <c r="L30" s="42" t="s">
        <v>274</v>
      </c>
      <c r="M30" s="38" t="s">
        <v>191</v>
      </c>
      <c r="N30" s="43" t="s">
        <v>275</v>
      </c>
      <c r="O30" s="31" t="n">
        <f aca="false">MIN(G30,G30*Depreciation!$C$23*F30)</f>
        <v>9828.37782481054</v>
      </c>
      <c r="P30" s="31" t="n">
        <f aca="false">G30-O30</f>
        <v>26171.6221751895</v>
      </c>
      <c r="Q30" s="22" t="n">
        <f aca="false">IFERROR(P30/Inputs!$C$8,0)</f>
        <v>0.18694015839421</v>
      </c>
      <c r="R30" s="22" t="n">
        <f aca="false">IFERROR(IF(I30="Diesel",Inputs!$C$14,Inputs!$C$13)/H30,0)</f>
        <v>0.104411764705882</v>
      </c>
      <c r="S30" s="22" t="n">
        <f aca="false">IFERROR(IF(J30="Truck",Inputs!$C$16,Inputs!$C$15)/Inputs!$C$17,0)</f>
        <v>0.0163636363636364</v>
      </c>
      <c r="T30" s="22" t="n">
        <f aca="false">Inputs!$C$18</f>
        <v>0.08</v>
      </c>
      <c r="U30" s="22" t="n">
        <f aca="false">Inputs!$C$29</f>
        <v>0.0557142857142857</v>
      </c>
      <c r="V30" s="22" t="n">
        <f aca="false">IFERROR(Inputs!$C$19/Inputs!$C$5,0)</f>
        <v>0.0290909090909091</v>
      </c>
      <c r="W30" s="22" t="n">
        <f aca="false">IFERROR(Inputs!$C$20/Inputs!$C$5,0)</f>
        <v>0.00818181818181818</v>
      </c>
      <c r="X30" s="22" t="n">
        <f aca="false">IFERROR(G30*Inputs!$C$46/Inputs!$C$8,0)</f>
        <v>0.018</v>
      </c>
      <c r="Y30" s="22" t="n">
        <f aca="false">IFERROR((G30+O30)/2*Inputs!$C$33*Inputs!$C$9/Inputs!$C$8,0)</f>
        <v>0.0187479727465134</v>
      </c>
      <c r="Z30" s="22" t="n">
        <f aca="false">IFERROR((G30*(1-Inputs!$C$35)*Inputs!$C$36*Inputs!$C$34*Inputs!$C$9+G30*Inputs!$C$35*Inputs!$C$33*Inputs!$C$9)/Inputs!$C$8,0)</f>
        <v>0.0246109090909091</v>
      </c>
      <c r="AA30" s="22" t="n">
        <f aca="false">IF(Inputs!$C$32="Cash",Y30,Z30)</f>
        <v>0.0187479727465134</v>
      </c>
      <c r="AB30" s="44" t="n">
        <f aca="false">Q30+R30+S30+T30+U30+V30+W30+X30+AA30</f>
        <v>0.517450545197256</v>
      </c>
      <c r="AC30" s="31" t="n">
        <f aca="false">AB30*Inputs!$C$8</f>
        <v>72443.0763276158</v>
      </c>
      <c r="AD30" s="31" t="n">
        <f aca="false">AB30*Inputs!$C$5</f>
        <v>28459.7799858491</v>
      </c>
      <c r="AE30" s="45" t="n">
        <f aca="false">RANK(AB30,$AB$7:$AB$82,1)</f>
        <v>25</v>
      </c>
      <c r="AF30" s="41" t="n">
        <v>100</v>
      </c>
      <c r="AG30" s="41" t="n">
        <v>87</v>
      </c>
      <c r="AH30" s="46" t="n">
        <v>52.6</v>
      </c>
      <c r="AI30" s="38" t="s">
        <v>193</v>
      </c>
      <c r="AJ30" s="47" t="n">
        <f aca="false">MIN(G30,G30*Depreciation!$E$33*F30)</f>
        <v>11772.8886461391</v>
      </c>
      <c r="AK30" s="48" t="n">
        <f aca="false">IFERROR((G30-AJ30)/(2*Inputs!$C$5),0)</f>
        <v>0.220246466853281</v>
      </c>
    </row>
    <row r="31" customFormat="false" ht="25.5" hidden="false" customHeight="true" outlineLevel="0" collapsed="false">
      <c r="A31" s="35" t="s">
        <v>276</v>
      </c>
      <c r="B31" s="35" t="s">
        <v>236</v>
      </c>
      <c r="C31" s="49" t="s">
        <v>208</v>
      </c>
      <c r="D31" s="24" t="n">
        <v>0.51</v>
      </c>
      <c r="E31" s="38" t="s">
        <v>231</v>
      </c>
      <c r="F31" s="39" t="n">
        <f aca="false">(1-D31)/(1-Inputs!$C$54)</f>
        <v>0.841924398625429</v>
      </c>
      <c r="G31" s="40" t="n">
        <v>34000</v>
      </c>
      <c r="H31" s="41" t="n">
        <v>25</v>
      </c>
      <c r="I31" s="42" t="s">
        <v>187</v>
      </c>
      <c r="J31" s="42" t="s">
        <v>232</v>
      </c>
      <c r="K31" s="42" t="s">
        <v>277</v>
      </c>
      <c r="L31" s="42" t="s">
        <v>226</v>
      </c>
      <c r="M31" s="38" t="s">
        <v>227</v>
      </c>
      <c r="N31" s="43" t="s">
        <v>278</v>
      </c>
      <c r="O31" s="31" t="n">
        <f aca="false">MIN(G31,G31*Depreciation!$C$23*F31)</f>
        <v>7336.0562079455</v>
      </c>
      <c r="P31" s="31" t="n">
        <f aca="false">G31-O31</f>
        <v>26663.9437920545</v>
      </c>
      <c r="Q31" s="22" t="n">
        <f aca="false">IFERROR(P31/Inputs!$C$8,0)</f>
        <v>0.190456741371818</v>
      </c>
      <c r="R31" s="22" t="n">
        <f aca="false">IFERROR(IF(I31="Diesel",Inputs!$C$14,Inputs!$C$13)/H31,0)</f>
        <v>0.142</v>
      </c>
      <c r="S31" s="22" t="n">
        <f aca="false">IFERROR(IF(J31="Truck",Inputs!$C$16,Inputs!$C$15)/Inputs!$C$17,0)</f>
        <v>0.0163636363636364</v>
      </c>
      <c r="T31" s="22" t="n">
        <f aca="false">Inputs!$C$18</f>
        <v>0.08</v>
      </c>
      <c r="U31" s="22" t="n">
        <f aca="false">Inputs!$C$29</f>
        <v>0.0557142857142857</v>
      </c>
      <c r="V31" s="22" t="n">
        <f aca="false">IFERROR(Inputs!$C$19/Inputs!$C$5,0)</f>
        <v>0.0290909090909091</v>
      </c>
      <c r="W31" s="22" t="n">
        <f aca="false">IFERROR(Inputs!$C$20/Inputs!$C$5,0)</f>
        <v>0.00818181818181818</v>
      </c>
      <c r="X31" s="22" t="n">
        <f aca="false">IFERROR(G31*Inputs!$C$46/Inputs!$C$8,0)</f>
        <v>0.017</v>
      </c>
      <c r="Y31" s="22" t="n">
        <f aca="false">IFERROR((G31+O31)/2*Inputs!$C$33*Inputs!$C$9/Inputs!$C$8,0)</f>
        <v>0.0169102048123413</v>
      </c>
      <c r="Z31" s="22" t="n">
        <f aca="false">IFERROR((G31*(1-Inputs!$C$35)*Inputs!$C$36*Inputs!$C$34*Inputs!$C$9+G31*Inputs!$C$35*Inputs!$C$33*Inputs!$C$9)/Inputs!$C$8,0)</f>
        <v>0.0232436363636364</v>
      </c>
      <c r="AA31" s="22" t="n">
        <f aca="false">IF(Inputs!$C$32="Cash",Y31,Z31)</f>
        <v>0.0169102048123413</v>
      </c>
      <c r="AB31" s="44" t="n">
        <f aca="false">Q31+R31+S31+T31+U31+V31+W31+X31+AA31</f>
        <v>0.555717595534809</v>
      </c>
      <c r="AC31" s="31" t="n">
        <f aca="false">AB31*Inputs!$C$8</f>
        <v>77800.4633748732</v>
      </c>
      <c r="AD31" s="31" t="n">
        <f aca="false">AB31*Inputs!$C$5</f>
        <v>30564.4677544145</v>
      </c>
      <c r="AE31" s="45" t="n">
        <f aca="false">RANK(AB31,$AB$7:$AB$82,1)</f>
        <v>43</v>
      </c>
      <c r="AF31" s="41" t="n">
        <v>68.2</v>
      </c>
      <c r="AG31" s="41" t="n">
        <v>75</v>
      </c>
      <c r="AH31" s="46" t="n">
        <v>53.9</v>
      </c>
      <c r="AI31" s="38" t="s">
        <v>193</v>
      </c>
      <c r="AJ31" s="47" t="n">
        <f aca="false">MIN(G31,G31*Depreciation!$E$33*F31)</f>
        <v>8787.46975110565</v>
      </c>
      <c r="AK31" s="48" t="n">
        <f aca="false">IFERROR((G31-AJ31)/(2*Inputs!$C$5),0)</f>
        <v>0.229204820444494</v>
      </c>
    </row>
    <row r="32" customFormat="false" ht="25.5" hidden="false" customHeight="true" outlineLevel="0" collapsed="false">
      <c r="A32" s="35" t="s">
        <v>279</v>
      </c>
      <c r="B32" s="35" t="s">
        <v>236</v>
      </c>
      <c r="C32" s="49" t="s">
        <v>208</v>
      </c>
      <c r="D32" s="24" t="n">
        <v>0.51</v>
      </c>
      <c r="E32" s="38" t="s">
        <v>231</v>
      </c>
      <c r="F32" s="39" t="n">
        <f aca="false">(1-D32)/(1-Inputs!$C$54)</f>
        <v>0.841924398625429</v>
      </c>
      <c r="G32" s="40" t="n">
        <v>33000</v>
      </c>
      <c r="H32" s="41" t="n">
        <v>25</v>
      </c>
      <c r="I32" s="42" t="s">
        <v>187</v>
      </c>
      <c r="J32" s="42" t="s">
        <v>232</v>
      </c>
      <c r="K32" s="42" t="s">
        <v>280</v>
      </c>
      <c r="L32" s="42" t="s">
        <v>226</v>
      </c>
      <c r="M32" s="38" t="s">
        <v>227</v>
      </c>
      <c r="N32" s="43" t="s">
        <v>281</v>
      </c>
      <c r="O32" s="31" t="n">
        <f aca="false">MIN(G32,G32*Depreciation!$C$23*F32)</f>
        <v>7120.28984888828</v>
      </c>
      <c r="P32" s="31" t="n">
        <f aca="false">G32-O32</f>
        <v>25879.7101511117</v>
      </c>
      <c r="Q32" s="22" t="n">
        <f aca="false">IFERROR(P32/Inputs!$C$8,0)</f>
        <v>0.184855072507941</v>
      </c>
      <c r="R32" s="22" t="n">
        <f aca="false">IFERROR(IF(I32="Diesel",Inputs!$C$14,Inputs!$C$13)/H32,0)</f>
        <v>0.142</v>
      </c>
      <c r="S32" s="22" t="n">
        <f aca="false">IFERROR(IF(J32="Truck",Inputs!$C$16,Inputs!$C$15)/Inputs!$C$17,0)</f>
        <v>0.0163636363636364</v>
      </c>
      <c r="T32" s="22" t="n">
        <f aca="false">Inputs!$C$18</f>
        <v>0.08</v>
      </c>
      <c r="U32" s="22" t="n">
        <f aca="false">Inputs!$C$29</f>
        <v>0.0557142857142857</v>
      </c>
      <c r="V32" s="22" t="n">
        <f aca="false">IFERROR(Inputs!$C$19/Inputs!$C$5,0)</f>
        <v>0.0290909090909091</v>
      </c>
      <c r="W32" s="22" t="n">
        <f aca="false">IFERROR(Inputs!$C$20/Inputs!$C$5,0)</f>
        <v>0.00818181818181818</v>
      </c>
      <c r="X32" s="22" t="n">
        <f aca="false">IFERROR(G32*Inputs!$C$46/Inputs!$C$8,0)</f>
        <v>0.0165</v>
      </c>
      <c r="Y32" s="22" t="n">
        <f aca="false">IFERROR((G32+O32)/2*Inputs!$C$33*Inputs!$C$9/Inputs!$C$8,0)</f>
        <v>0.0164128458472725</v>
      </c>
      <c r="Z32" s="22" t="n">
        <f aca="false">IFERROR((G32*(1-Inputs!$C$35)*Inputs!$C$36*Inputs!$C$34*Inputs!$C$9+G32*Inputs!$C$35*Inputs!$C$33*Inputs!$C$9)/Inputs!$C$8,0)</f>
        <v>0.02256</v>
      </c>
      <c r="AA32" s="22" t="n">
        <f aca="false">IF(Inputs!$C$32="Cash",Y32,Z32)</f>
        <v>0.0164128458472725</v>
      </c>
      <c r="AB32" s="44" t="n">
        <f aca="false">Q32+R32+S32+T32+U32+V32+W32+X32+AA32</f>
        <v>0.549118567705863</v>
      </c>
      <c r="AC32" s="31" t="n">
        <f aca="false">AB32*Inputs!$C$8</f>
        <v>76876.5994788208</v>
      </c>
      <c r="AD32" s="31" t="n">
        <f aca="false">AB32*Inputs!$C$5</f>
        <v>30201.5212238224</v>
      </c>
      <c r="AE32" s="45" t="n">
        <f aca="false">RANK(AB32,$AB$7:$AB$82,1)</f>
        <v>41</v>
      </c>
      <c r="AF32" s="41" t="n">
        <v>66.7</v>
      </c>
      <c r="AG32" s="41" t="n">
        <v>70.4</v>
      </c>
      <c r="AH32" s="46" t="n">
        <v>54.4</v>
      </c>
      <c r="AI32" s="38" t="s">
        <v>193</v>
      </c>
      <c r="AJ32" s="47" t="n">
        <f aca="false">MIN(G32,G32*Depreciation!$E$33*F32)</f>
        <v>8529.01475842607</v>
      </c>
      <c r="AK32" s="48" t="n">
        <f aca="false">IFERROR((G32-AJ32)/(2*Inputs!$C$5),0)</f>
        <v>0.222463502196127</v>
      </c>
    </row>
    <row r="33" customFormat="false" ht="25.5" hidden="false" customHeight="true" outlineLevel="0" collapsed="false">
      <c r="A33" s="35" t="s">
        <v>282</v>
      </c>
      <c r="B33" s="35" t="s">
        <v>236</v>
      </c>
      <c r="C33" s="49" t="s">
        <v>208</v>
      </c>
      <c r="D33" s="24" t="n">
        <v>0.51</v>
      </c>
      <c r="E33" s="38" t="s">
        <v>231</v>
      </c>
      <c r="F33" s="39" t="n">
        <f aca="false">(1-D33)/(1-Inputs!$C$54)</f>
        <v>0.841924398625429</v>
      </c>
      <c r="G33" s="40" t="n">
        <v>28000</v>
      </c>
      <c r="H33" s="41" t="n">
        <v>25.5</v>
      </c>
      <c r="I33" s="42" t="s">
        <v>187</v>
      </c>
      <c r="J33" s="42" t="s">
        <v>232</v>
      </c>
      <c r="K33" s="42" t="s">
        <v>260</v>
      </c>
      <c r="L33" s="42" t="s">
        <v>226</v>
      </c>
      <c r="M33" s="38" t="s">
        <v>227</v>
      </c>
      <c r="N33" s="43" t="s">
        <v>283</v>
      </c>
      <c r="O33" s="31" t="n">
        <f aca="false">MIN(G33,G33*Depreciation!$C$23*F33)</f>
        <v>6041.45805360218</v>
      </c>
      <c r="P33" s="31" t="n">
        <f aca="false">G33-O33</f>
        <v>21958.5419463978</v>
      </c>
      <c r="Q33" s="22" t="n">
        <f aca="false">IFERROR(P33/Inputs!$C$8,0)</f>
        <v>0.156846728188556</v>
      </c>
      <c r="R33" s="22" t="n">
        <f aca="false">IFERROR(IF(I33="Diesel",Inputs!$C$14,Inputs!$C$13)/H33,0)</f>
        <v>0.13921568627451</v>
      </c>
      <c r="S33" s="22" t="n">
        <f aca="false">IFERROR(IF(J33="Truck",Inputs!$C$16,Inputs!$C$15)/Inputs!$C$17,0)</f>
        <v>0.0163636363636364</v>
      </c>
      <c r="T33" s="22" t="n">
        <f aca="false">Inputs!$C$18</f>
        <v>0.08</v>
      </c>
      <c r="U33" s="22" t="n">
        <f aca="false">Inputs!$C$29</f>
        <v>0.0557142857142857</v>
      </c>
      <c r="V33" s="22" t="n">
        <f aca="false">IFERROR(Inputs!$C$19/Inputs!$C$5,0)</f>
        <v>0.0290909090909091</v>
      </c>
      <c r="W33" s="22" t="n">
        <f aca="false">IFERROR(Inputs!$C$20/Inputs!$C$5,0)</f>
        <v>0.00818181818181818</v>
      </c>
      <c r="X33" s="22" t="n">
        <f aca="false">IFERROR(G33*Inputs!$C$46/Inputs!$C$8,0)</f>
        <v>0.014</v>
      </c>
      <c r="Y33" s="22" t="n">
        <f aca="false">IFERROR((G33+O33)/2*Inputs!$C$33*Inputs!$C$9/Inputs!$C$8,0)</f>
        <v>0.0139260510219282</v>
      </c>
      <c r="Z33" s="22" t="n">
        <f aca="false">IFERROR((G33*(1-Inputs!$C$35)*Inputs!$C$36*Inputs!$C$34*Inputs!$C$9+G33*Inputs!$C$35*Inputs!$C$33*Inputs!$C$9)/Inputs!$C$8,0)</f>
        <v>0.0191418181818182</v>
      </c>
      <c r="AA33" s="22" t="n">
        <f aca="false">IF(Inputs!$C$32="Cash",Y33,Z33)</f>
        <v>0.0139260510219282</v>
      </c>
      <c r="AB33" s="44" t="n">
        <f aca="false">Q33+R33+S33+T33+U33+V33+W33+X33+AA33</f>
        <v>0.513339114835643</v>
      </c>
      <c r="AC33" s="31" t="n">
        <f aca="false">AB33*Inputs!$C$8</f>
        <v>71867.4760769901</v>
      </c>
      <c r="AD33" s="31" t="n">
        <f aca="false">AB33*Inputs!$C$5</f>
        <v>28233.6513159604</v>
      </c>
      <c r="AE33" s="45" t="n">
        <f aca="false">RANK(AB33,$AB$7:$AB$82,1)</f>
        <v>24</v>
      </c>
      <c r="AF33" s="41" t="n">
        <v>65.2</v>
      </c>
      <c r="AG33" s="41" t="n">
        <v>55.6</v>
      </c>
      <c r="AH33" s="46" t="n">
        <v>56</v>
      </c>
      <c r="AI33" s="51" t="s">
        <v>234</v>
      </c>
      <c r="AJ33" s="47" t="n">
        <f aca="false">MIN(G33,G33*Depreciation!$E$33*F33)</f>
        <v>7236.73979502818</v>
      </c>
      <c r="AK33" s="48" t="n">
        <f aca="false">IFERROR((G33-AJ33)/(2*Inputs!$C$5),0)</f>
        <v>0.188756910954289</v>
      </c>
    </row>
    <row r="34" customFormat="false" ht="25.5" hidden="false" customHeight="true" outlineLevel="0" collapsed="false">
      <c r="A34" s="35" t="s">
        <v>284</v>
      </c>
      <c r="B34" s="35" t="s">
        <v>236</v>
      </c>
      <c r="C34" s="50" t="s">
        <v>220</v>
      </c>
      <c r="D34" s="24" t="n">
        <v>0.51</v>
      </c>
      <c r="E34" s="38" t="s">
        <v>225</v>
      </c>
      <c r="F34" s="39" t="n">
        <f aca="false">(1-D34)/(1-Inputs!$C$54)</f>
        <v>0.841924398625429</v>
      </c>
      <c r="G34" s="40" t="n">
        <v>40000</v>
      </c>
      <c r="H34" s="41" t="n">
        <v>27.5</v>
      </c>
      <c r="I34" s="42" t="s">
        <v>187</v>
      </c>
      <c r="J34" s="42" t="s">
        <v>232</v>
      </c>
      <c r="K34" s="42" t="s">
        <v>260</v>
      </c>
      <c r="L34" s="42" t="s">
        <v>226</v>
      </c>
      <c r="M34" s="38" t="s">
        <v>227</v>
      </c>
      <c r="N34" s="43" t="s">
        <v>285</v>
      </c>
      <c r="O34" s="31" t="n">
        <f aca="false">MIN(G34,G34*Depreciation!$C$23*F34)</f>
        <v>8630.65436228882</v>
      </c>
      <c r="P34" s="31" t="n">
        <f aca="false">G34-O34</f>
        <v>31369.3456377112</v>
      </c>
      <c r="Q34" s="22" t="n">
        <f aca="false">IFERROR(P34/Inputs!$C$8,0)</f>
        <v>0.22406675455508</v>
      </c>
      <c r="R34" s="22" t="n">
        <f aca="false">IFERROR(IF(I34="Diesel",Inputs!$C$14,Inputs!$C$13)/H34,0)</f>
        <v>0.129090909090909</v>
      </c>
      <c r="S34" s="22" t="n">
        <f aca="false">IFERROR(IF(J34="Truck",Inputs!$C$16,Inputs!$C$15)/Inputs!$C$17,0)</f>
        <v>0.0163636363636364</v>
      </c>
      <c r="T34" s="22" t="n">
        <f aca="false">Inputs!$C$18</f>
        <v>0.08</v>
      </c>
      <c r="U34" s="22" t="n">
        <f aca="false">Inputs!$C$29</f>
        <v>0.0557142857142857</v>
      </c>
      <c r="V34" s="22" t="n">
        <f aca="false">IFERROR(Inputs!$C$19/Inputs!$C$5,0)</f>
        <v>0.0290909090909091</v>
      </c>
      <c r="W34" s="22" t="n">
        <f aca="false">IFERROR(Inputs!$C$20/Inputs!$C$5,0)</f>
        <v>0.00818181818181818</v>
      </c>
      <c r="X34" s="22" t="n">
        <f aca="false">IFERROR(G34*Inputs!$C$46/Inputs!$C$8,0)</f>
        <v>0.02</v>
      </c>
      <c r="Y34" s="22" t="n">
        <f aca="false">IFERROR((G34+O34)/2*Inputs!$C$33*Inputs!$C$9/Inputs!$C$8,0)</f>
        <v>0.0198943586027545</v>
      </c>
      <c r="Z34" s="22" t="n">
        <f aca="false">IFERROR((G34*(1-Inputs!$C$35)*Inputs!$C$36*Inputs!$C$34*Inputs!$C$9+G34*Inputs!$C$35*Inputs!$C$33*Inputs!$C$9)/Inputs!$C$8,0)</f>
        <v>0.0273454545454545</v>
      </c>
      <c r="AA34" s="22" t="n">
        <f aca="false">IF(Inputs!$C$32="Cash",Y34,Z34)</f>
        <v>0.0198943586027545</v>
      </c>
      <c r="AB34" s="44" t="n">
        <f aca="false">Q34+R34+S34+T34+U34+V34+W34+X34+AA34</f>
        <v>0.582402671599393</v>
      </c>
      <c r="AC34" s="31" t="n">
        <f aca="false">AB34*Inputs!$C$8</f>
        <v>81536.374023915</v>
      </c>
      <c r="AD34" s="31" t="n">
        <f aca="false">AB34*Inputs!$C$5</f>
        <v>32032.1469379666</v>
      </c>
      <c r="AE34" s="45" t="n">
        <f aca="false">RANK(AB34,$AB$7:$AB$82,1)</f>
        <v>51</v>
      </c>
      <c r="AF34" s="41" t="n">
        <v>49.2</v>
      </c>
      <c r="AG34" s="41" t="n">
        <v>42.6</v>
      </c>
      <c r="AH34" s="46" t="n">
        <v>57.4</v>
      </c>
      <c r="AI34" s="38" t="s">
        <v>193</v>
      </c>
      <c r="AJ34" s="47" t="n">
        <f aca="false">MIN(G34,G34*Depreciation!$E$33*F34)</f>
        <v>10338.1997071831</v>
      </c>
      <c r="AK34" s="48" t="n">
        <f aca="false">IFERROR((G34-AJ34)/(2*Inputs!$C$5),0)</f>
        <v>0.269652729934699</v>
      </c>
    </row>
    <row r="35" customFormat="false" ht="25.5" hidden="false" customHeight="true" outlineLevel="0" collapsed="false">
      <c r="A35" s="35" t="s">
        <v>286</v>
      </c>
      <c r="B35" s="35" t="s">
        <v>236</v>
      </c>
      <c r="C35" s="49" t="s">
        <v>208</v>
      </c>
      <c r="D35" s="24" t="n">
        <v>0.51</v>
      </c>
      <c r="E35" s="38" t="s">
        <v>231</v>
      </c>
      <c r="F35" s="39" t="n">
        <f aca="false">(1-D35)/(1-Inputs!$C$54)</f>
        <v>0.841924398625429</v>
      </c>
      <c r="G35" s="40" t="n">
        <v>28000</v>
      </c>
      <c r="H35" s="41" t="n">
        <v>23.5</v>
      </c>
      <c r="I35" s="42" t="s">
        <v>187</v>
      </c>
      <c r="J35" s="42" t="s">
        <v>232</v>
      </c>
      <c r="K35" s="42" t="s">
        <v>260</v>
      </c>
      <c r="L35" s="42" t="s">
        <v>226</v>
      </c>
      <c r="M35" s="38" t="s">
        <v>227</v>
      </c>
      <c r="N35" s="43" t="s">
        <v>287</v>
      </c>
      <c r="O35" s="31" t="n">
        <f aca="false">MIN(G35,G35*Depreciation!$C$23*F35)</f>
        <v>6041.45805360218</v>
      </c>
      <c r="P35" s="31" t="n">
        <f aca="false">G35-O35</f>
        <v>21958.5419463978</v>
      </c>
      <c r="Q35" s="22" t="n">
        <f aca="false">IFERROR(P35/Inputs!$C$8,0)</f>
        <v>0.156846728188556</v>
      </c>
      <c r="R35" s="22" t="n">
        <f aca="false">IFERROR(IF(I35="Diesel",Inputs!$C$14,Inputs!$C$13)/H35,0)</f>
        <v>0.151063829787234</v>
      </c>
      <c r="S35" s="22" t="n">
        <f aca="false">IFERROR(IF(J35="Truck",Inputs!$C$16,Inputs!$C$15)/Inputs!$C$17,0)</f>
        <v>0.0163636363636364</v>
      </c>
      <c r="T35" s="22" t="n">
        <f aca="false">Inputs!$C$18</f>
        <v>0.08</v>
      </c>
      <c r="U35" s="22" t="n">
        <f aca="false">Inputs!$C$29</f>
        <v>0.0557142857142857</v>
      </c>
      <c r="V35" s="22" t="n">
        <f aca="false">IFERROR(Inputs!$C$19/Inputs!$C$5,0)</f>
        <v>0.0290909090909091</v>
      </c>
      <c r="W35" s="22" t="n">
        <f aca="false">IFERROR(Inputs!$C$20/Inputs!$C$5,0)</f>
        <v>0.00818181818181818</v>
      </c>
      <c r="X35" s="22" t="n">
        <f aca="false">IFERROR(G35*Inputs!$C$46/Inputs!$C$8,0)</f>
        <v>0.014</v>
      </c>
      <c r="Y35" s="22" t="n">
        <f aca="false">IFERROR((G35+O35)/2*Inputs!$C$33*Inputs!$C$9/Inputs!$C$8,0)</f>
        <v>0.0139260510219282</v>
      </c>
      <c r="Z35" s="22" t="n">
        <f aca="false">IFERROR((G35*(1-Inputs!$C$35)*Inputs!$C$36*Inputs!$C$34*Inputs!$C$9+G35*Inputs!$C$35*Inputs!$C$33*Inputs!$C$9)/Inputs!$C$8,0)</f>
        <v>0.0191418181818182</v>
      </c>
      <c r="AA35" s="22" t="n">
        <f aca="false">IF(Inputs!$C$32="Cash",Y35,Z35)</f>
        <v>0.0139260510219282</v>
      </c>
      <c r="AB35" s="44" t="n">
        <f aca="false">Q35+R35+S35+T35+U35+V35+W35+X35+AA35</f>
        <v>0.525187258348367</v>
      </c>
      <c r="AC35" s="31" t="n">
        <f aca="false">AB35*Inputs!$C$8</f>
        <v>73526.2161687714</v>
      </c>
      <c r="AD35" s="31" t="n">
        <f aca="false">AB35*Inputs!$C$5</f>
        <v>28885.2992091602</v>
      </c>
      <c r="AE35" s="45" t="n">
        <f aca="false">RANK(AB35,$AB$7:$AB$82,1)</f>
        <v>29</v>
      </c>
      <c r="AF35" s="41" t="n">
        <v>87.5</v>
      </c>
      <c r="AG35" s="41" t="n">
        <v>41.7</v>
      </c>
      <c r="AH35" s="46" t="n">
        <v>57.5</v>
      </c>
      <c r="AI35" s="38" t="s">
        <v>193</v>
      </c>
      <c r="AJ35" s="47" t="n">
        <f aca="false">MIN(G35,G35*Depreciation!$E$33*F35)</f>
        <v>7236.73979502818</v>
      </c>
      <c r="AK35" s="48" t="n">
        <f aca="false">IFERROR((G35-AJ35)/(2*Inputs!$C$5),0)</f>
        <v>0.188756910954289</v>
      </c>
    </row>
    <row r="36" customFormat="false" ht="25.5" hidden="false" customHeight="true" outlineLevel="0" collapsed="false">
      <c r="A36" s="35" t="s">
        <v>288</v>
      </c>
      <c r="B36" s="35" t="s">
        <v>236</v>
      </c>
      <c r="C36" s="49" t="s">
        <v>208</v>
      </c>
      <c r="D36" s="24" t="n">
        <v>0.51</v>
      </c>
      <c r="E36" s="38" t="s">
        <v>231</v>
      </c>
      <c r="F36" s="39" t="n">
        <f aca="false">(1-D36)/(1-Inputs!$C$54)</f>
        <v>0.841924398625429</v>
      </c>
      <c r="G36" s="40" t="n">
        <v>29000</v>
      </c>
      <c r="H36" s="41" t="n">
        <v>24</v>
      </c>
      <c r="I36" s="42" t="s">
        <v>187</v>
      </c>
      <c r="J36" s="42" t="s">
        <v>232</v>
      </c>
      <c r="K36" s="42" t="s">
        <v>260</v>
      </c>
      <c r="L36" s="42" t="s">
        <v>226</v>
      </c>
      <c r="M36" s="38" t="s">
        <v>227</v>
      </c>
      <c r="N36" s="43" t="s">
        <v>289</v>
      </c>
      <c r="O36" s="31" t="n">
        <f aca="false">MIN(G36,G36*Depreciation!$C$23*F36)</f>
        <v>6257.2244126594</v>
      </c>
      <c r="P36" s="31" t="n">
        <f aca="false">G36-O36</f>
        <v>22742.7755873406</v>
      </c>
      <c r="Q36" s="22" t="n">
        <f aca="false">IFERROR(P36/Inputs!$C$8,0)</f>
        <v>0.162448397052433</v>
      </c>
      <c r="R36" s="22" t="n">
        <f aca="false">IFERROR(IF(I36="Diesel",Inputs!$C$14,Inputs!$C$13)/H36,0)</f>
        <v>0.147916666666667</v>
      </c>
      <c r="S36" s="22" t="n">
        <f aca="false">IFERROR(IF(J36="Truck",Inputs!$C$16,Inputs!$C$15)/Inputs!$C$17,0)</f>
        <v>0.0163636363636364</v>
      </c>
      <c r="T36" s="22" t="n">
        <f aca="false">Inputs!$C$18</f>
        <v>0.08</v>
      </c>
      <c r="U36" s="22" t="n">
        <f aca="false">Inputs!$C$29</f>
        <v>0.0557142857142857</v>
      </c>
      <c r="V36" s="22" t="n">
        <f aca="false">IFERROR(Inputs!$C$19/Inputs!$C$5,0)</f>
        <v>0.0290909090909091</v>
      </c>
      <c r="W36" s="22" t="n">
        <f aca="false">IFERROR(Inputs!$C$20/Inputs!$C$5,0)</f>
        <v>0.00818181818181818</v>
      </c>
      <c r="X36" s="22" t="n">
        <f aca="false">IFERROR(G36*Inputs!$C$46/Inputs!$C$8,0)</f>
        <v>0.0145</v>
      </c>
      <c r="Y36" s="22" t="n">
        <f aca="false">IFERROR((G36+O36)/2*Inputs!$C$33*Inputs!$C$9/Inputs!$C$8,0)</f>
        <v>0.014423409986997</v>
      </c>
      <c r="Z36" s="22" t="n">
        <f aca="false">IFERROR((G36*(1-Inputs!$C$35)*Inputs!$C$36*Inputs!$C$34*Inputs!$C$9+G36*Inputs!$C$35*Inputs!$C$33*Inputs!$C$9)/Inputs!$C$8,0)</f>
        <v>0.0198254545454546</v>
      </c>
      <c r="AA36" s="22" t="n">
        <f aca="false">IF(Inputs!$C$32="Cash",Y36,Z36)</f>
        <v>0.014423409986997</v>
      </c>
      <c r="AB36" s="44" t="n">
        <f aca="false">Q36+R36+S36+T36+U36+V36+W36+X36+AA36</f>
        <v>0.528639123056746</v>
      </c>
      <c r="AC36" s="31" t="n">
        <f aca="false">AB36*Inputs!$C$8</f>
        <v>74009.4772279444</v>
      </c>
      <c r="AD36" s="31" t="n">
        <f aca="false">AB36*Inputs!$C$5</f>
        <v>29075.151768121</v>
      </c>
      <c r="AE36" s="45" t="n">
        <f aca="false">RANK(AB36,$AB$7:$AB$82,1)</f>
        <v>31</v>
      </c>
      <c r="AF36" s="41" t="n">
        <v>80.4</v>
      </c>
      <c r="AG36" s="41" t="n">
        <v>52.8</v>
      </c>
      <c r="AH36" s="46" t="n">
        <v>56.3</v>
      </c>
      <c r="AI36" s="38" t="s">
        <v>193</v>
      </c>
      <c r="AJ36" s="47" t="n">
        <f aca="false">MIN(G36,G36*Depreciation!$E$33*F36)</f>
        <v>7495.19478770776</v>
      </c>
      <c r="AK36" s="48" t="n">
        <f aca="false">IFERROR((G36-AJ36)/(2*Inputs!$C$5),0)</f>
        <v>0.195498229202657</v>
      </c>
    </row>
    <row r="37" customFormat="false" ht="25.5" hidden="false" customHeight="true" outlineLevel="0" collapsed="false">
      <c r="A37" s="35" t="s">
        <v>290</v>
      </c>
      <c r="B37" s="35" t="s">
        <v>236</v>
      </c>
      <c r="C37" s="49" t="s">
        <v>208</v>
      </c>
      <c r="D37" s="24" t="n">
        <v>0.51</v>
      </c>
      <c r="E37" s="38" t="s">
        <v>231</v>
      </c>
      <c r="F37" s="39" t="n">
        <f aca="false">(1-D37)/(1-Inputs!$C$54)</f>
        <v>0.841924398625429</v>
      </c>
      <c r="G37" s="40" t="n">
        <v>30000</v>
      </c>
      <c r="H37" s="41" t="n">
        <v>24</v>
      </c>
      <c r="I37" s="42" t="s">
        <v>187</v>
      </c>
      <c r="J37" s="42" t="s">
        <v>232</v>
      </c>
      <c r="K37" s="42" t="s">
        <v>260</v>
      </c>
      <c r="L37" s="42" t="s">
        <v>226</v>
      </c>
      <c r="M37" s="38" t="s">
        <v>227</v>
      </c>
      <c r="N37" s="43" t="s">
        <v>291</v>
      </c>
      <c r="O37" s="31" t="n">
        <f aca="false">MIN(G37,G37*Depreciation!$C$23*F37)</f>
        <v>6472.99077171662</v>
      </c>
      <c r="P37" s="31" t="n">
        <f aca="false">G37-O37</f>
        <v>23527.0092282834</v>
      </c>
      <c r="Q37" s="22" t="n">
        <f aca="false">IFERROR(P37/Inputs!$C$8,0)</f>
        <v>0.16805006591631</v>
      </c>
      <c r="R37" s="22" t="n">
        <f aca="false">IFERROR(IF(I37="Diesel",Inputs!$C$14,Inputs!$C$13)/H37,0)</f>
        <v>0.147916666666667</v>
      </c>
      <c r="S37" s="22" t="n">
        <f aca="false">IFERROR(IF(J37="Truck",Inputs!$C$16,Inputs!$C$15)/Inputs!$C$17,0)</f>
        <v>0.0163636363636364</v>
      </c>
      <c r="T37" s="22" t="n">
        <f aca="false">Inputs!$C$18</f>
        <v>0.08</v>
      </c>
      <c r="U37" s="22" t="n">
        <f aca="false">Inputs!$C$29</f>
        <v>0.0557142857142857</v>
      </c>
      <c r="V37" s="22" t="n">
        <f aca="false">IFERROR(Inputs!$C$19/Inputs!$C$5,0)</f>
        <v>0.0290909090909091</v>
      </c>
      <c r="W37" s="22" t="n">
        <f aca="false">IFERROR(Inputs!$C$20/Inputs!$C$5,0)</f>
        <v>0.00818181818181818</v>
      </c>
      <c r="X37" s="22" t="n">
        <f aca="false">IFERROR(G37*Inputs!$C$46/Inputs!$C$8,0)</f>
        <v>0.015</v>
      </c>
      <c r="Y37" s="22" t="n">
        <f aca="false">IFERROR((G37+O37)/2*Inputs!$C$33*Inputs!$C$9/Inputs!$C$8,0)</f>
        <v>0.0149207689520659</v>
      </c>
      <c r="Z37" s="22" t="n">
        <f aca="false">IFERROR((G37*(1-Inputs!$C$35)*Inputs!$C$36*Inputs!$C$34*Inputs!$C$9+G37*Inputs!$C$35*Inputs!$C$33*Inputs!$C$9)/Inputs!$C$8,0)</f>
        <v>0.0205090909090909</v>
      </c>
      <c r="AA37" s="22" t="n">
        <f aca="false">IF(Inputs!$C$32="Cash",Y37,Z37)</f>
        <v>0.0149207689520659</v>
      </c>
      <c r="AB37" s="44" t="n">
        <f aca="false">Q37+R37+S37+T37+U37+V37+W37+X37+AA37</f>
        <v>0.535238150885692</v>
      </c>
      <c r="AC37" s="31" t="n">
        <f aca="false">AB37*Inputs!$C$8</f>
        <v>74933.3411239969</v>
      </c>
      <c r="AD37" s="31" t="n">
        <f aca="false">AB37*Inputs!$C$5</f>
        <v>29438.0982987131</v>
      </c>
      <c r="AE37" s="45" t="n">
        <f aca="false">RANK(AB37,$AB$7:$AB$82,1)</f>
        <v>35</v>
      </c>
      <c r="AF37" s="41" t="n">
        <v>49.6</v>
      </c>
      <c r="AG37" s="41" t="n">
        <v>75</v>
      </c>
      <c r="AH37" s="46" t="n">
        <v>53.9</v>
      </c>
      <c r="AI37" s="38" t="s">
        <v>193</v>
      </c>
      <c r="AJ37" s="47" t="n">
        <f aca="false">MIN(G37,G37*Depreciation!$E$33*F37)</f>
        <v>7753.64978038734</v>
      </c>
      <c r="AK37" s="48" t="n">
        <f aca="false">IFERROR((G37-AJ37)/(2*Inputs!$C$5),0)</f>
        <v>0.202239547451024</v>
      </c>
    </row>
    <row r="38" customFormat="false" ht="25.5" hidden="false" customHeight="true" outlineLevel="0" collapsed="false">
      <c r="A38" s="35" t="s">
        <v>292</v>
      </c>
      <c r="B38" s="35" t="s">
        <v>236</v>
      </c>
      <c r="C38" s="49" t="s">
        <v>208</v>
      </c>
      <c r="D38" s="24" t="n">
        <v>0.51</v>
      </c>
      <c r="E38" s="38" t="s">
        <v>231</v>
      </c>
      <c r="F38" s="39" t="n">
        <f aca="false">(1-D38)/(1-Inputs!$C$54)</f>
        <v>0.841924398625429</v>
      </c>
      <c r="G38" s="40" t="n">
        <v>33000</v>
      </c>
      <c r="H38" s="41" t="n">
        <v>23</v>
      </c>
      <c r="I38" s="42" t="s">
        <v>187</v>
      </c>
      <c r="J38" s="42" t="s">
        <v>232</v>
      </c>
      <c r="K38" s="42" t="s">
        <v>189</v>
      </c>
      <c r="L38" s="42" t="s">
        <v>226</v>
      </c>
      <c r="M38" s="38" t="s">
        <v>227</v>
      </c>
      <c r="N38" s="43" t="s">
        <v>293</v>
      </c>
      <c r="O38" s="31" t="n">
        <f aca="false">MIN(G38,G38*Depreciation!$C$23*F38)</f>
        <v>7120.28984888828</v>
      </c>
      <c r="P38" s="31" t="n">
        <f aca="false">G38-O38</f>
        <v>25879.7101511117</v>
      </c>
      <c r="Q38" s="22" t="n">
        <f aca="false">IFERROR(P38/Inputs!$C$8,0)</f>
        <v>0.184855072507941</v>
      </c>
      <c r="R38" s="22" t="n">
        <f aca="false">IFERROR(IF(I38="Diesel",Inputs!$C$14,Inputs!$C$13)/H38,0)</f>
        <v>0.154347826086957</v>
      </c>
      <c r="S38" s="22" t="n">
        <f aca="false">IFERROR(IF(J38="Truck",Inputs!$C$16,Inputs!$C$15)/Inputs!$C$17,0)</f>
        <v>0.0163636363636364</v>
      </c>
      <c r="T38" s="22" t="n">
        <f aca="false">Inputs!$C$18</f>
        <v>0.08</v>
      </c>
      <c r="U38" s="22" t="n">
        <f aca="false">Inputs!$C$29</f>
        <v>0.0557142857142857</v>
      </c>
      <c r="V38" s="22" t="n">
        <f aca="false">IFERROR(Inputs!$C$19/Inputs!$C$5,0)</f>
        <v>0.0290909090909091</v>
      </c>
      <c r="W38" s="22" t="n">
        <f aca="false">IFERROR(Inputs!$C$20/Inputs!$C$5,0)</f>
        <v>0.00818181818181818</v>
      </c>
      <c r="X38" s="22" t="n">
        <f aca="false">IFERROR(G38*Inputs!$C$46/Inputs!$C$8,0)</f>
        <v>0.0165</v>
      </c>
      <c r="Y38" s="22" t="n">
        <f aca="false">IFERROR((G38+O38)/2*Inputs!$C$33*Inputs!$C$9/Inputs!$C$8,0)</f>
        <v>0.0164128458472725</v>
      </c>
      <c r="Z38" s="22" t="n">
        <f aca="false">IFERROR((G38*(1-Inputs!$C$35)*Inputs!$C$36*Inputs!$C$34*Inputs!$C$9+G38*Inputs!$C$35*Inputs!$C$33*Inputs!$C$9)/Inputs!$C$8,0)</f>
        <v>0.02256</v>
      </c>
      <c r="AA38" s="22" t="n">
        <f aca="false">IF(Inputs!$C$32="Cash",Y38,Z38)</f>
        <v>0.0164128458472725</v>
      </c>
      <c r="AB38" s="44" t="n">
        <f aca="false">Q38+R38+S38+T38+U38+V38+W38+X38+AA38</f>
        <v>0.561466393792819</v>
      </c>
      <c r="AC38" s="31" t="n">
        <f aca="false">AB38*Inputs!$C$8</f>
        <v>78605.2951309947</v>
      </c>
      <c r="AD38" s="31" t="n">
        <f aca="false">AB38*Inputs!$C$5</f>
        <v>30880.6516586051</v>
      </c>
      <c r="AE38" s="45" t="n">
        <f aca="false">RANK(AB38,$AB$7:$AB$82,1)</f>
        <v>44</v>
      </c>
      <c r="AF38" s="41" t="n">
        <v>25.4</v>
      </c>
      <c r="AG38" s="41" t="n">
        <v>50.9</v>
      </c>
      <c r="AH38" s="46" t="n">
        <v>56.5</v>
      </c>
      <c r="AI38" s="38" t="s">
        <v>193</v>
      </c>
      <c r="AJ38" s="47" t="n">
        <f aca="false">MIN(G38,G38*Depreciation!$E$33*F38)</f>
        <v>8529.01475842607</v>
      </c>
      <c r="AK38" s="48" t="n">
        <f aca="false">IFERROR((G38-AJ38)/(2*Inputs!$C$5),0)</f>
        <v>0.222463502196127</v>
      </c>
    </row>
    <row r="39" customFormat="false" ht="25.5" hidden="false" customHeight="true" outlineLevel="0" collapsed="false">
      <c r="A39" s="35" t="s">
        <v>294</v>
      </c>
      <c r="B39" s="35" t="s">
        <v>265</v>
      </c>
      <c r="C39" s="49" t="s">
        <v>208</v>
      </c>
      <c r="D39" s="24" t="n">
        <v>0.51</v>
      </c>
      <c r="E39" s="38" t="s">
        <v>231</v>
      </c>
      <c r="F39" s="39" t="n">
        <f aca="false">(1-D39)/(1-Inputs!$C$54)</f>
        <v>0.841924398625429</v>
      </c>
      <c r="G39" s="40" t="n">
        <v>26000</v>
      </c>
      <c r="H39" s="41" t="n">
        <v>29</v>
      </c>
      <c r="I39" s="42" t="s">
        <v>187</v>
      </c>
      <c r="J39" s="42" t="s">
        <v>232</v>
      </c>
      <c r="K39" s="42" t="s">
        <v>240</v>
      </c>
      <c r="L39" s="42" t="s">
        <v>295</v>
      </c>
      <c r="M39" s="38" t="s">
        <v>210</v>
      </c>
      <c r="N39" s="43" t="s">
        <v>296</v>
      </c>
      <c r="O39" s="31" t="n">
        <f aca="false">MIN(G39,G39*Depreciation!$C$23*F39)</f>
        <v>5609.92533548774</v>
      </c>
      <c r="P39" s="31" t="n">
        <f aca="false">G39-O39</f>
        <v>20390.0746645123</v>
      </c>
      <c r="Q39" s="22" t="n">
        <f aca="false">IFERROR(P39/Inputs!$C$8,0)</f>
        <v>0.145643390460802</v>
      </c>
      <c r="R39" s="22" t="n">
        <f aca="false">IFERROR(IF(I39="Diesel",Inputs!$C$14,Inputs!$C$13)/H39,0)</f>
        <v>0.122413793103448</v>
      </c>
      <c r="S39" s="22" t="n">
        <f aca="false">IFERROR(IF(J39="Truck",Inputs!$C$16,Inputs!$C$15)/Inputs!$C$17,0)</f>
        <v>0.0163636363636364</v>
      </c>
      <c r="T39" s="22" t="n">
        <f aca="false">Inputs!$C$18</f>
        <v>0.08</v>
      </c>
      <c r="U39" s="22" t="n">
        <f aca="false">Inputs!$C$29</f>
        <v>0.0557142857142857</v>
      </c>
      <c r="V39" s="22" t="n">
        <f aca="false">IFERROR(Inputs!$C$19/Inputs!$C$5,0)</f>
        <v>0.0290909090909091</v>
      </c>
      <c r="W39" s="22" t="n">
        <f aca="false">IFERROR(Inputs!$C$20/Inputs!$C$5,0)</f>
        <v>0.00818181818181818</v>
      </c>
      <c r="X39" s="22" t="n">
        <f aca="false">IFERROR(G39*Inputs!$C$46/Inputs!$C$8,0)</f>
        <v>0.013</v>
      </c>
      <c r="Y39" s="22" t="n">
        <f aca="false">IFERROR((G39+O39)/2*Inputs!$C$33*Inputs!$C$9/Inputs!$C$8,0)</f>
        <v>0.0129313330917904</v>
      </c>
      <c r="Z39" s="22" t="n">
        <f aca="false">IFERROR((G39*(1-Inputs!$C$35)*Inputs!$C$36*Inputs!$C$34*Inputs!$C$9+G39*Inputs!$C$35*Inputs!$C$33*Inputs!$C$9)/Inputs!$C$8,0)</f>
        <v>0.0177745454545455</v>
      </c>
      <c r="AA39" s="22" t="n">
        <f aca="false">IF(Inputs!$C$32="Cash",Y39,Z39)</f>
        <v>0.0129313330917904</v>
      </c>
      <c r="AB39" s="44" t="n">
        <f aca="false">Q39+R39+S39+T39+U39+V39+W39+X39+AA39</f>
        <v>0.48333916600669</v>
      </c>
      <c r="AC39" s="31" t="n">
        <f aca="false">AB39*Inputs!$C$8</f>
        <v>67667.4832409366</v>
      </c>
      <c r="AD39" s="31" t="n">
        <f aca="false">AB39*Inputs!$C$5</f>
        <v>26583.6541303679</v>
      </c>
      <c r="AE39" s="45" t="n">
        <f aca="false">RANK(AB39,$AB$7:$AB$82,1)</f>
        <v>20</v>
      </c>
      <c r="AF39" s="41" t="n">
        <v>95.5</v>
      </c>
      <c r="AG39" s="41" t="n">
        <v>49.1</v>
      </c>
      <c r="AH39" s="46" t="n">
        <v>56.7</v>
      </c>
      <c r="AI39" s="38" t="s">
        <v>193</v>
      </c>
      <c r="AJ39" s="47" t="n">
        <f aca="false">MIN(G39,G39*Depreciation!$E$33*F39)</f>
        <v>6719.82980966903</v>
      </c>
      <c r="AK39" s="48" t="n">
        <f aca="false">IFERROR((G39-AJ39)/(2*Inputs!$C$5),0)</f>
        <v>0.175274274457554</v>
      </c>
    </row>
    <row r="40" customFormat="false" ht="25.5" hidden="false" customHeight="true" outlineLevel="0" collapsed="false">
      <c r="A40" s="35" t="s">
        <v>297</v>
      </c>
      <c r="B40" s="35" t="s">
        <v>239</v>
      </c>
      <c r="C40" s="49" t="s">
        <v>208</v>
      </c>
      <c r="D40" s="24" t="n">
        <v>0.379</v>
      </c>
      <c r="E40" s="38" t="s">
        <v>198</v>
      </c>
      <c r="F40" s="39" t="n">
        <f aca="false">(1-D40)/(1-Inputs!$C$54)</f>
        <v>1.06701030927835</v>
      </c>
      <c r="G40" s="40" t="n">
        <v>25000</v>
      </c>
      <c r="H40" s="41" t="n">
        <v>31</v>
      </c>
      <c r="I40" s="42" t="s">
        <v>187</v>
      </c>
      <c r="J40" s="42" t="s">
        <v>232</v>
      </c>
      <c r="K40" s="42" t="s">
        <v>240</v>
      </c>
      <c r="L40" s="42" t="s">
        <v>226</v>
      </c>
      <c r="M40" s="38" t="s">
        <v>227</v>
      </c>
      <c r="N40" s="43" t="s">
        <v>298</v>
      </c>
      <c r="O40" s="31" t="n">
        <f aca="false">MIN(G40,G40*Depreciation!$C$23*F40)</f>
        <v>6836.27086604765</v>
      </c>
      <c r="P40" s="31" t="n">
        <f aca="false">G40-O40</f>
        <v>18163.7291339523</v>
      </c>
      <c r="Q40" s="22" t="n">
        <f aca="false">IFERROR(P40/Inputs!$C$8,0)</f>
        <v>0.129740922385374</v>
      </c>
      <c r="R40" s="22" t="n">
        <f aca="false">IFERROR(IF(I40="Diesel",Inputs!$C$14,Inputs!$C$13)/H40,0)</f>
        <v>0.114516129032258</v>
      </c>
      <c r="S40" s="22" t="n">
        <f aca="false">IFERROR(IF(J40="Truck",Inputs!$C$16,Inputs!$C$15)/Inputs!$C$17,0)</f>
        <v>0.0163636363636364</v>
      </c>
      <c r="T40" s="22" t="n">
        <f aca="false">Inputs!$C$18</f>
        <v>0.08</v>
      </c>
      <c r="U40" s="22" t="n">
        <f aca="false">Inputs!$C$29</f>
        <v>0.0557142857142857</v>
      </c>
      <c r="V40" s="22" t="n">
        <f aca="false">IFERROR(Inputs!$C$19/Inputs!$C$5,0)</f>
        <v>0.0290909090909091</v>
      </c>
      <c r="W40" s="22" t="n">
        <f aca="false">IFERROR(Inputs!$C$20/Inputs!$C$5,0)</f>
        <v>0.00818181818181818</v>
      </c>
      <c r="X40" s="22" t="n">
        <f aca="false">IFERROR(G40*Inputs!$C$46/Inputs!$C$8,0)</f>
        <v>0.0125</v>
      </c>
      <c r="Y40" s="22" t="n">
        <f aca="false">IFERROR((G40+O40)/2*Inputs!$C$33*Inputs!$C$9/Inputs!$C$8,0)</f>
        <v>0.0130239289906559</v>
      </c>
      <c r="Z40" s="22" t="n">
        <f aca="false">IFERROR((G40*(1-Inputs!$C$35)*Inputs!$C$36*Inputs!$C$34*Inputs!$C$9+G40*Inputs!$C$35*Inputs!$C$33*Inputs!$C$9)/Inputs!$C$8,0)</f>
        <v>0.0170909090909091</v>
      </c>
      <c r="AA40" s="22" t="n">
        <f aca="false">IF(Inputs!$C$32="Cash",Y40,Z40)</f>
        <v>0.0130239289906559</v>
      </c>
      <c r="AB40" s="44" t="n">
        <f aca="false">Q40+R40+S40+T40+U40+V40+W40+X40+AA40</f>
        <v>0.459131629758937</v>
      </c>
      <c r="AC40" s="31" t="n">
        <f aca="false">AB40*Inputs!$C$8</f>
        <v>64278.4281662512</v>
      </c>
      <c r="AD40" s="31" t="n">
        <f aca="false">AB40*Inputs!$C$5</f>
        <v>25252.2396367416</v>
      </c>
      <c r="AE40" s="45" t="n">
        <f aca="false">RANK(AB40,$AB$7:$AB$82,1)</f>
        <v>8</v>
      </c>
      <c r="AF40" s="41" t="n">
        <v>95.5</v>
      </c>
      <c r="AG40" s="41" t="n">
        <v>40.7</v>
      </c>
      <c r="AH40" s="46" t="n">
        <v>57.6</v>
      </c>
      <c r="AI40" s="38" t="s">
        <v>193</v>
      </c>
      <c r="AJ40" s="47" t="n">
        <f aca="false">MIN(G40,G40*Depreciation!$E$33*F40)</f>
        <v>8188.80359459275</v>
      </c>
      <c r="AK40" s="48" t="n">
        <f aca="false">IFERROR((G40-AJ40)/(2*Inputs!$C$5),0)</f>
        <v>0.152829058230975</v>
      </c>
    </row>
    <row r="41" customFormat="false" ht="25.5" hidden="false" customHeight="true" outlineLevel="0" collapsed="false">
      <c r="A41" s="35" t="s">
        <v>299</v>
      </c>
      <c r="B41" s="35" t="s">
        <v>239</v>
      </c>
      <c r="C41" s="37" t="s">
        <v>185</v>
      </c>
      <c r="D41" s="24" t="n">
        <v>0.51</v>
      </c>
      <c r="E41" s="38" t="s">
        <v>231</v>
      </c>
      <c r="F41" s="39" t="n">
        <f aca="false">(1-D41)/(1-Inputs!$C$54)</f>
        <v>0.841924398625429</v>
      </c>
      <c r="G41" s="40" t="n">
        <v>25000</v>
      </c>
      <c r="H41" s="41" t="n">
        <v>30</v>
      </c>
      <c r="I41" s="42" t="s">
        <v>187</v>
      </c>
      <c r="J41" s="42" t="s">
        <v>232</v>
      </c>
      <c r="K41" s="42" t="s">
        <v>240</v>
      </c>
      <c r="L41" s="42" t="s">
        <v>226</v>
      </c>
      <c r="M41" s="38" t="s">
        <v>227</v>
      </c>
      <c r="N41" s="43" t="s">
        <v>300</v>
      </c>
      <c r="O41" s="31" t="n">
        <f aca="false">MIN(G41,G41*Depreciation!$C$23*F41)</f>
        <v>5394.15897643052</v>
      </c>
      <c r="P41" s="31" t="n">
        <f aca="false">G41-O41</f>
        <v>19605.8410235695</v>
      </c>
      <c r="Q41" s="22" t="n">
        <f aca="false">IFERROR(P41/Inputs!$C$8,0)</f>
        <v>0.140041721596925</v>
      </c>
      <c r="R41" s="22" t="n">
        <f aca="false">IFERROR(IF(I41="Diesel",Inputs!$C$14,Inputs!$C$13)/H41,0)</f>
        <v>0.118333333333333</v>
      </c>
      <c r="S41" s="22" t="n">
        <f aca="false">IFERROR(IF(J41="Truck",Inputs!$C$16,Inputs!$C$15)/Inputs!$C$17,0)</f>
        <v>0.0163636363636364</v>
      </c>
      <c r="T41" s="22" t="n">
        <f aca="false">Inputs!$C$18</f>
        <v>0.08</v>
      </c>
      <c r="U41" s="22" t="n">
        <f aca="false">Inputs!$C$29</f>
        <v>0.0557142857142857</v>
      </c>
      <c r="V41" s="22" t="n">
        <f aca="false">IFERROR(Inputs!$C$19/Inputs!$C$5,0)</f>
        <v>0.0290909090909091</v>
      </c>
      <c r="W41" s="22" t="n">
        <f aca="false">IFERROR(Inputs!$C$20/Inputs!$C$5,0)</f>
        <v>0.00818181818181818</v>
      </c>
      <c r="X41" s="22" t="n">
        <f aca="false">IFERROR(G41*Inputs!$C$46/Inputs!$C$8,0)</f>
        <v>0.0125</v>
      </c>
      <c r="Y41" s="22" t="n">
        <f aca="false">IFERROR((G41+O41)/2*Inputs!$C$33*Inputs!$C$9/Inputs!$C$8,0)</f>
        <v>0.0124339741267216</v>
      </c>
      <c r="Z41" s="22" t="n">
        <f aca="false">IFERROR((G41*(1-Inputs!$C$35)*Inputs!$C$36*Inputs!$C$34*Inputs!$C$9+G41*Inputs!$C$35*Inputs!$C$33*Inputs!$C$9)/Inputs!$C$8,0)</f>
        <v>0.0170909090909091</v>
      </c>
      <c r="AA41" s="22" t="n">
        <f aca="false">IF(Inputs!$C$32="Cash",Y41,Z41)</f>
        <v>0.0124339741267216</v>
      </c>
      <c r="AB41" s="44" t="n">
        <f aca="false">Q41+R41+S41+T41+U41+V41+W41+X41+AA41</f>
        <v>0.472659678407629</v>
      </c>
      <c r="AC41" s="31" t="n">
        <f aca="false">AB41*Inputs!$C$8</f>
        <v>66172.3549770681</v>
      </c>
      <c r="AD41" s="31" t="n">
        <f aca="false">AB41*Inputs!$C$5</f>
        <v>25996.2823124196</v>
      </c>
      <c r="AE41" s="45" t="n">
        <f aca="false">RANK(AB41,$AB$7:$AB$82,1)</f>
        <v>14</v>
      </c>
      <c r="AF41" s="41" t="n">
        <v>65.2</v>
      </c>
      <c r="AG41" s="41" t="n">
        <v>65.7</v>
      </c>
      <c r="AH41" s="46" t="n">
        <v>54.9</v>
      </c>
      <c r="AI41" s="38" t="s">
        <v>193</v>
      </c>
      <c r="AJ41" s="47" t="n">
        <f aca="false">MIN(G41,G41*Depreciation!$E$33*F41)</f>
        <v>6461.37481698945</v>
      </c>
      <c r="AK41" s="48" t="n">
        <f aca="false">IFERROR((G41-AJ41)/(2*Inputs!$C$5),0)</f>
        <v>0.168532956209187</v>
      </c>
    </row>
    <row r="42" customFormat="false" ht="25.5" hidden="false" customHeight="true" outlineLevel="0" collapsed="false">
      <c r="A42" s="35" t="s">
        <v>301</v>
      </c>
      <c r="B42" s="35" t="s">
        <v>239</v>
      </c>
      <c r="C42" s="50" t="s">
        <v>220</v>
      </c>
      <c r="D42" s="24" t="n">
        <v>0.51</v>
      </c>
      <c r="E42" s="38" t="s">
        <v>231</v>
      </c>
      <c r="F42" s="39" t="n">
        <f aca="false">(1-D42)/(1-Inputs!$C$54)</f>
        <v>0.841924398625429</v>
      </c>
      <c r="G42" s="40" t="n">
        <v>23000</v>
      </c>
      <c r="H42" s="41" t="n">
        <v>30</v>
      </c>
      <c r="I42" s="42" t="s">
        <v>187</v>
      </c>
      <c r="J42" s="42" t="s">
        <v>232</v>
      </c>
      <c r="K42" s="42" t="s">
        <v>240</v>
      </c>
      <c r="L42" s="42" t="s">
        <v>226</v>
      </c>
      <c r="M42" s="38" t="s">
        <v>227</v>
      </c>
      <c r="N42" s="43" t="s">
        <v>302</v>
      </c>
      <c r="O42" s="31" t="n">
        <f aca="false">MIN(G42,G42*Depreciation!$C$23*F42)</f>
        <v>4962.62625831607</v>
      </c>
      <c r="P42" s="31" t="n">
        <f aca="false">G42-O42</f>
        <v>18037.3737416839</v>
      </c>
      <c r="Q42" s="22" t="n">
        <f aca="false">IFERROR(P42/Inputs!$C$8,0)</f>
        <v>0.128838383869171</v>
      </c>
      <c r="R42" s="22" t="n">
        <f aca="false">IFERROR(IF(I42="Diesel",Inputs!$C$14,Inputs!$C$13)/H42,0)</f>
        <v>0.118333333333333</v>
      </c>
      <c r="S42" s="22" t="n">
        <f aca="false">IFERROR(IF(J42="Truck",Inputs!$C$16,Inputs!$C$15)/Inputs!$C$17,0)</f>
        <v>0.0163636363636364</v>
      </c>
      <c r="T42" s="22" t="n">
        <f aca="false">Inputs!$C$18</f>
        <v>0.08</v>
      </c>
      <c r="U42" s="22" t="n">
        <f aca="false">Inputs!$C$29</f>
        <v>0.0557142857142857</v>
      </c>
      <c r="V42" s="22" t="n">
        <f aca="false">IFERROR(Inputs!$C$19/Inputs!$C$5,0)</f>
        <v>0.0290909090909091</v>
      </c>
      <c r="W42" s="22" t="n">
        <f aca="false">IFERROR(Inputs!$C$20/Inputs!$C$5,0)</f>
        <v>0.00818181818181818</v>
      </c>
      <c r="X42" s="22" t="n">
        <f aca="false">IFERROR(G42*Inputs!$C$46/Inputs!$C$8,0)</f>
        <v>0.0115</v>
      </c>
      <c r="Y42" s="22" t="n">
        <f aca="false">IFERROR((G42+O42)/2*Inputs!$C$33*Inputs!$C$9/Inputs!$C$8,0)</f>
        <v>0.0114392561965838</v>
      </c>
      <c r="Z42" s="22" t="n">
        <f aca="false">IFERROR((G42*(1-Inputs!$C$35)*Inputs!$C$36*Inputs!$C$34*Inputs!$C$9+G42*Inputs!$C$35*Inputs!$C$33*Inputs!$C$9)/Inputs!$C$8,0)</f>
        <v>0.0157236363636364</v>
      </c>
      <c r="AA42" s="22" t="n">
        <f aca="false">IF(Inputs!$C$32="Cash",Y42,Z42)</f>
        <v>0.0114392561965838</v>
      </c>
      <c r="AB42" s="44" t="n">
        <f aca="false">Q42+R42+S42+T42+U42+V42+W42+X42+AA42</f>
        <v>0.459461622749738</v>
      </c>
      <c r="AC42" s="31" t="n">
        <f aca="false">AB42*Inputs!$C$8</f>
        <v>64324.6271849633</v>
      </c>
      <c r="AD42" s="31" t="n">
        <f aca="false">AB42*Inputs!$C$5</f>
        <v>25270.3892512356</v>
      </c>
      <c r="AE42" s="45" t="n">
        <f aca="false">RANK(AB42,$AB$7:$AB$82,1)</f>
        <v>9</v>
      </c>
      <c r="AF42" s="41" t="n">
        <v>56.4</v>
      </c>
      <c r="AG42" s="41" t="n">
        <v>75.9</v>
      </c>
      <c r="AH42" s="46" t="n">
        <v>53.8</v>
      </c>
      <c r="AI42" s="38" t="s">
        <v>193</v>
      </c>
      <c r="AJ42" s="47" t="n">
        <f aca="false">MIN(G42,G42*Depreciation!$E$33*F42)</f>
        <v>5944.46483163029</v>
      </c>
      <c r="AK42" s="48" t="n">
        <f aca="false">IFERROR((G42-AJ42)/(2*Inputs!$C$5),0)</f>
        <v>0.155050319712452</v>
      </c>
    </row>
    <row r="43" customFormat="false" ht="25.5" hidden="false" customHeight="true" outlineLevel="0" collapsed="false">
      <c r="A43" s="35" t="s">
        <v>303</v>
      </c>
      <c r="B43" s="35" t="s">
        <v>239</v>
      </c>
      <c r="C43" s="49" t="s">
        <v>208</v>
      </c>
      <c r="D43" s="24" t="n">
        <v>0.51</v>
      </c>
      <c r="E43" s="38" t="s">
        <v>231</v>
      </c>
      <c r="F43" s="39" t="n">
        <f aca="false">(1-D43)/(1-Inputs!$C$54)</f>
        <v>0.841924398625429</v>
      </c>
      <c r="G43" s="40" t="n">
        <v>22000</v>
      </c>
      <c r="H43" s="41" t="n">
        <v>29</v>
      </c>
      <c r="I43" s="42" t="s">
        <v>187</v>
      </c>
      <c r="J43" s="42" t="s">
        <v>232</v>
      </c>
      <c r="K43" s="42" t="s">
        <v>240</v>
      </c>
      <c r="L43" s="42" t="s">
        <v>226</v>
      </c>
      <c r="M43" s="38" t="s">
        <v>227</v>
      </c>
      <c r="N43" s="43" t="s">
        <v>304</v>
      </c>
      <c r="O43" s="31" t="n">
        <f aca="false">MIN(G43,G43*Depreciation!$C$23*F43)</f>
        <v>4746.85989925885</v>
      </c>
      <c r="P43" s="31" t="n">
        <f aca="false">G43-O43</f>
        <v>17253.1401007411</v>
      </c>
      <c r="Q43" s="22" t="n">
        <f aca="false">IFERROR(P43/Inputs!$C$8,0)</f>
        <v>0.123236715005294</v>
      </c>
      <c r="R43" s="22" t="n">
        <f aca="false">IFERROR(IF(I43="Diesel",Inputs!$C$14,Inputs!$C$13)/H43,0)</f>
        <v>0.122413793103448</v>
      </c>
      <c r="S43" s="22" t="n">
        <f aca="false">IFERROR(IF(J43="Truck",Inputs!$C$16,Inputs!$C$15)/Inputs!$C$17,0)</f>
        <v>0.0163636363636364</v>
      </c>
      <c r="T43" s="22" t="n">
        <f aca="false">Inputs!$C$18</f>
        <v>0.08</v>
      </c>
      <c r="U43" s="22" t="n">
        <f aca="false">Inputs!$C$29</f>
        <v>0.0557142857142857</v>
      </c>
      <c r="V43" s="22" t="n">
        <f aca="false">IFERROR(Inputs!$C$19/Inputs!$C$5,0)</f>
        <v>0.0290909090909091</v>
      </c>
      <c r="W43" s="22" t="n">
        <f aca="false">IFERROR(Inputs!$C$20/Inputs!$C$5,0)</f>
        <v>0.00818181818181818</v>
      </c>
      <c r="X43" s="22" t="n">
        <f aca="false">IFERROR(G43*Inputs!$C$46/Inputs!$C$8,0)</f>
        <v>0.011</v>
      </c>
      <c r="Y43" s="22" t="n">
        <f aca="false">IFERROR((G43+O43)/2*Inputs!$C$33*Inputs!$C$9/Inputs!$C$8,0)</f>
        <v>0.010941897231515</v>
      </c>
      <c r="Z43" s="22" t="n">
        <f aca="false">IFERROR((G43*(1-Inputs!$C$35)*Inputs!$C$36*Inputs!$C$34*Inputs!$C$9+G43*Inputs!$C$35*Inputs!$C$33*Inputs!$C$9)/Inputs!$C$8,0)</f>
        <v>0.01504</v>
      </c>
      <c r="AA43" s="22" t="n">
        <f aca="false">IF(Inputs!$C$32="Cash",Y43,Z43)</f>
        <v>0.010941897231515</v>
      </c>
      <c r="AB43" s="44" t="n">
        <f aca="false">Q43+R43+S43+T43+U43+V43+W43+X43+AA43</f>
        <v>0.456943054690907</v>
      </c>
      <c r="AC43" s="31" t="n">
        <f aca="false">AB43*Inputs!$C$8</f>
        <v>63972.0276567269</v>
      </c>
      <c r="AD43" s="31" t="n">
        <f aca="false">AB43*Inputs!$C$5</f>
        <v>25131.8680079999</v>
      </c>
      <c r="AE43" s="45" t="n">
        <f aca="false">RANK(AB43,$AB$7:$AB$82,1)</f>
        <v>7</v>
      </c>
      <c r="AF43" s="41" t="n">
        <v>64.7</v>
      </c>
      <c r="AG43" s="41" t="n">
        <v>60.2</v>
      </c>
      <c r="AH43" s="46" t="n">
        <v>55.5</v>
      </c>
      <c r="AI43" s="38" t="s">
        <v>193</v>
      </c>
      <c r="AJ43" s="47" t="n">
        <f aca="false">MIN(G43,G43*Depreciation!$E$33*F43)</f>
        <v>5686.00983895071</v>
      </c>
      <c r="AK43" s="48" t="n">
        <f aca="false">IFERROR((G43-AJ43)/(2*Inputs!$C$5),0)</f>
        <v>0.148309001464084</v>
      </c>
    </row>
    <row r="44" customFormat="false" ht="25.5" hidden="false" customHeight="true" outlineLevel="0" collapsed="false">
      <c r="A44" s="35" t="s">
        <v>305</v>
      </c>
      <c r="B44" s="35" t="s">
        <v>265</v>
      </c>
      <c r="C44" s="49" t="s">
        <v>208</v>
      </c>
      <c r="D44" s="24" t="n">
        <v>0.51</v>
      </c>
      <c r="E44" s="38" t="s">
        <v>231</v>
      </c>
      <c r="F44" s="39" t="n">
        <f aca="false">(1-D44)/(1-Inputs!$C$54)</f>
        <v>0.841924398625429</v>
      </c>
      <c r="G44" s="40" t="n">
        <v>25000</v>
      </c>
      <c r="H44" s="41" t="n">
        <v>27</v>
      </c>
      <c r="I44" s="42" t="s">
        <v>187</v>
      </c>
      <c r="J44" s="42" t="s">
        <v>232</v>
      </c>
      <c r="K44" s="42" t="s">
        <v>260</v>
      </c>
      <c r="L44" s="42" t="s">
        <v>226</v>
      </c>
      <c r="M44" s="38" t="s">
        <v>227</v>
      </c>
      <c r="N44" s="43" t="s">
        <v>306</v>
      </c>
      <c r="O44" s="31" t="n">
        <f aca="false">MIN(G44,G44*Depreciation!$C$23*F44)</f>
        <v>5394.15897643052</v>
      </c>
      <c r="P44" s="31" t="n">
        <f aca="false">G44-O44</f>
        <v>19605.8410235695</v>
      </c>
      <c r="Q44" s="22" t="n">
        <f aca="false">IFERROR(P44/Inputs!$C$8,0)</f>
        <v>0.140041721596925</v>
      </c>
      <c r="R44" s="22" t="n">
        <f aca="false">IFERROR(IF(I44="Diesel",Inputs!$C$14,Inputs!$C$13)/H44,0)</f>
        <v>0.131481481481481</v>
      </c>
      <c r="S44" s="22" t="n">
        <f aca="false">IFERROR(IF(J44="Truck",Inputs!$C$16,Inputs!$C$15)/Inputs!$C$17,0)</f>
        <v>0.0163636363636364</v>
      </c>
      <c r="T44" s="22" t="n">
        <f aca="false">Inputs!$C$18</f>
        <v>0.08</v>
      </c>
      <c r="U44" s="22" t="n">
        <f aca="false">Inputs!$C$29</f>
        <v>0.0557142857142857</v>
      </c>
      <c r="V44" s="22" t="n">
        <f aca="false">IFERROR(Inputs!$C$19/Inputs!$C$5,0)</f>
        <v>0.0290909090909091</v>
      </c>
      <c r="W44" s="22" t="n">
        <f aca="false">IFERROR(Inputs!$C$20/Inputs!$C$5,0)</f>
        <v>0.00818181818181818</v>
      </c>
      <c r="X44" s="22" t="n">
        <f aca="false">IFERROR(G44*Inputs!$C$46/Inputs!$C$8,0)</f>
        <v>0.0125</v>
      </c>
      <c r="Y44" s="22" t="n">
        <f aca="false">IFERROR((G44+O44)/2*Inputs!$C$33*Inputs!$C$9/Inputs!$C$8,0)</f>
        <v>0.0124339741267216</v>
      </c>
      <c r="Z44" s="22" t="n">
        <f aca="false">IFERROR((G44*(1-Inputs!$C$35)*Inputs!$C$36*Inputs!$C$34*Inputs!$C$9+G44*Inputs!$C$35*Inputs!$C$33*Inputs!$C$9)/Inputs!$C$8,0)</f>
        <v>0.0170909090909091</v>
      </c>
      <c r="AA44" s="22" t="n">
        <f aca="false">IF(Inputs!$C$32="Cash",Y44,Z44)</f>
        <v>0.0124339741267216</v>
      </c>
      <c r="AB44" s="44" t="n">
        <f aca="false">Q44+R44+S44+T44+U44+V44+W44+X44+AA44</f>
        <v>0.485807826555777</v>
      </c>
      <c r="AC44" s="31" t="n">
        <f aca="false">AB44*Inputs!$C$8</f>
        <v>68013.0957178088</v>
      </c>
      <c r="AD44" s="31" t="n">
        <f aca="false">AB44*Inputs!$C$5</f>
        <v>26719.4304605678</v>
      </c>
      <c r="AE44" s="45" t="n">
        <f aca="false">RANK(AB44,$AB$7:$AB$82,1)</f>
        <v>21</v>
      </c>
      <c r="AF44" s="41" t="n">
        <v>64.7</v>
      </c>
      <c r="AG44" s="41" t="n">
        <v>33.3</v>
      </c>
      <c r="AH44" s="46" t="n">
        <v>58.4</v>
      </c>
      <c r="AI44" s="38" t="s">
        <v>193</v>
      </c>
      <c r="AJ44" s="47" t="n">
        <f aca="false">MIN(G44,G44*Depreciation!$E$33*F44)</f>
        <v>6461.37481698945</v>
      </c>
      <c r="AK44" s="48" t="n">
        <f aca="false">IFERROR((G44-AJ44)/(2*Inputs!$C$5),0)</f>
        <v>0.168532956209187</v>
      </c>
    </row>
    <row r="45" customFormat="false" ht="25.5" hidden="false" customHeight="true" outlineLevel="0" collapsed="false">
      <c r="A45" s="35" t="s">
        <v>307</v>
      </c>
      <c r="B45" s="35" t="s">
        <v>239</v>
      </c>
      <c r="C45" s="49" t="s">
        <v>208</v>
      </c>
      <c r="D45" s="24" t="n">
        <v>0.51</v>
      </c>
      <c r="E45" s="38" t="s">
        <v>231</v>
      </c>
      <c r="F45" s="39" t="n">
        <f aca="false">(1-D45)/(1-Inputs!$C$54)</f>
        <v>0.841924398625429</v>
      </c>
      <c r="G45" s="40" t="n">
        <v>21000</v>
      </c>
      <c r="H45" s="41" t="n">
        <v>29</v>
      </c>
      <c r="I45" s="42" t="s">
        <v>187</v>
      </c>
      <c r="J45" s="42" t="s">
        <v>232</v>
      </c>
      <c r="K45" s="42" t="s">
        <v>240</v>
      </c>
      <c r="L45" s="42" t="s">
        <v>226</v>
      </c>
      <c r="M45" s="38" t="s">
        <v>227</v>
      </c>
      <c r="N45" s="43" t="s">
        <v>308</v>
      </c>
      <c r="O45" s="31" t="n">
        <f aca="false">MIN(G45,G45*Depreciation!$C$23*F45)</f>
        <v>4531.09354020163</v>
      </c>
      <c r="P45" s="31" t="n">
        <f aca="false">G45-O45</f>
        <v>16468.9064597984</v>
      </c>
      <c r="Q45" s="22" t="n">
        <f aca="false">IFERROR(P45/Inputs!$C$8,0)</f>
        <v>0.117635046141417</v>
      </c>
      <c r="R45" s="22" t="n">
        <f aca="false">IFERROR(IF(I45="Diesel",Inputs!$C$14,Inputs!$C$13)/H45,0)</f>
        <v>0.122413793103448</v>
      </c>
      <c r="S45" s="22" t="n">
        <f aca="false">IFERROR(IF(J45="Truck",Inputs!$C$16,Inputs!$C$15)/Inputs!$C$17,0)</f>
        <v>0.0163636363636364</v>
      </c>
      <c r="T45" s="22" t="n">
        <f aca="false">Inputs!$C$18</f>
        <v>0.08</v>
      </c>
      <c r="U45" s="22" t="n">
        <f aca="false">Inputs!$C$29</f>
        <v>0.0557142857142857</v>
      </c>
      <c r="V45" s="22" t="n">
        <f aca="false">IFERROR(Inputs!$C$19/Inputs!$C$5,0)</f>
        <v>0.0290909090909091</v>
      </c>
      <c r="W45" s="22" t="n">
        <f aca="false">IFERROR(Inputs!$C$20/Inputs!$C$5,0)</f>
        <v>0.00818181818181818</v>
      </c>
      <c r="X45" s="22" t="n">
        <f aca="false">IFERROR(G45*Inputs!$C$46/Inputs!$C$8,0)</f>
        <v>0.0105</v>
      </c>
      <c r="Y45" s="22" t="n">
        <f aca="false">IFERROR((G45+O45)/2*Inputs!$C$33*Inputs!$C$9/Inputs!$C$8,0)</f>
        <v>0.0104445382664461</v>
      </c>
      <c r="Z45" s="22" t="n">
        <f aca="false">IFERROR((G45*(1-Inputs!$C$35)*Inputs!$C$36*Inputs!$C$34*Inputs!$C$9+G45*Inputs!$C$35*Inputs!$C$33*Inputs!$C$9)/Inputs!$C$8,0)</f>
        <v>0.0143563636363636</v>
      </c>
      <c r="AA45" s="22" t="n">
        <f aca="false">IF(Inputs!$C$32="Cash",Y45,Z45)</f>
        <v>0.0104445382664461</v>
      </c>
      <c r="AB45" s="44" t="n">
        <f aca="false">Q45+R45+S45+T45+U45+V45+W45+X45+AA45</f>
        <v>0.450344026861961</v>
      </c>
      <c r="AC45" s="31" t="n">
        <f aca="false">AB45*Inputs!$C$8</f>
        <v>63048.1637606745</v>
      </c>
      <c r="AD45" s="31" t="n">
        <f aca="false">AB45*Inputs!$C$5</f>
        <v>24768.9214774078</v>
      </c>
      <c r="AE45" s="45" t="n">
        <f aca="false">RANK(AB45,$AB$7:$AB$82,1)</f>
        <v>5</v>
      </c>
      <c r="AF45" s="41" t="n">
        <v>66.2</v>
      </c>
      <c r="AG45" s="41" t="n">
        <v>70.4</v>
      </c>
      <c r="AH45" s="46" t="n">
        <v>54.4</v>
      </c>
      <c r="AI45" s="38" t="s">
        <v>193</v>
      </c>
      <c r="AJ45" s="47" t="n">
        <f aca="false">MIN(G45,G45*Depreciation!$E$33*F45)</f>
        <v>5427.55484627114</v>
      </c>
      <c r="AK45" s="48" t="n">
        <f aca="false">IFERROR((G45-AJ45)/(2*Inputs!$C$5),0)</f>
        <v>0.141567683215717</v>
      </c>
    </row>
    <row r="46" customFormat="false" ht="25.5" hidden="false" customHeight="true" outlineLevel="0" collapsed="false">
      <c r="A46" s="35" t="s">
        <v>309</v>
      </c>
      <c r="B46" s="35" t="s">
        <v>236</v>
      </c>
      <c r="C46" s="49" t="s">
        <v>208</v>
      </c>
      <c r="D46" s="24" t="n">
        <v>0.51</v>
      </c>
      <c r="E46" s="38" t="s">
        <v>231</v>
      </c>
      <c r="F46" s="39" t="n">
        <f aca="false">(1-D46)/(1-Inputs!$C$54)</f>
        <v>0.841924398625429</v>
      </c>
      <c r="G46" s="40" t="n">
        <v>25000</v>
      </c>
      <c r="H46" s="41" t="n">
        <v>27</v>
      </c>
      <c r="I46" s="42" t="s">
        <v>187</v>
      </c>
      <c r="J46" s="42" t="s">
        <v>232</v>
      </c>
      <c r="K46" s="42" t="s">
        <v>260</v>
      </c>
      <c r="L46" s="42" t="s">
        <v>226</v>
      </c>
      <c r="M46" s="38" t="s">
        <v>227</v>
      </c>
      <c r="N46" s="43" t="s">
        <v>310</v>
      </c>
      <c r="O46" s="31" t="n">
        <f aca="false">MIN(G46,G46*Depreciation!$C$23*F46)</f>
        <v>5394.15897643052</v>
      </c>
      <c r="P46" s="31" t="n">
        <f aca="false">G46-O46</f>
        <v>19605.8410235695</v>
      </c>
      <c r="Q46" s="22" t="n">
        <f aca="false">IFERROR(P46/Inputs!$C$8,0)</f>
        <v>0.140041721596925</v>
      </c>
      <c r="R46" s="22" t="n">
        <f aca="false">IFERROR(IF(I46="Diesel",Inputs!$C$14,Inputs!$C$13)/H46,0)</f>
        <v>0.131481481481481</v>
      </c>
      <c r="S46" s="22" t="n">
        <f aca="false">IFERROR(IF(J46="Truck",Inputs!$C$16,Inputs!$C$15)/Inputs!$C$17,0)</f>
        <v>0.0163636363636364</v>
      </c>
      <c r="T46" s="22" t="n">
        <f aca="false">Inputs!$C$18</f>
        <v>0.08</v>
      </c>
      <c r="U46" s="22" t="n">
        <f aca="false">Inputs!$C$29</f>
        <v>0.0557142857142857</v>
      </c>
      <c r="V46" s="22" t="n">
        <f aca="false">IFERROR(Inputs!$C$19/Inputs!$C$5,0)</f>
        <v>0.0290909090909091</v>
      </c>
      <c r="W46" s="22" t="n">
        <f aca="false">IFERROR(Inputs!$C$20/Inputs!$C$5,0)</f>
        <v>0.00818181818181818</v>
      </c>
      <c r="X46" s="22" t="n">
        <f aca="false">IFERROR(G46*Inputs!$C$46/Inputs!$C$8,0)</f>
        <v>0.0125</v>
      </c>
      <c r="Y46" s="22" t="n">
        <f aca="false">IFERROR((G46+O46)/2*Inputs!$C$33*Inputs!$C$9/Inputs!$C$8,0)</f>
        <v>0.0124339741267216</v>
      </c>
      <c r="Z46" s="22" t="n">
        <f aca="false">IFERROR((G46*(1-Inputs!$C$35)*Inputs!$C$36*Inputs!$C$34*Inputs!$C$9+G46*Inputs!$C$35*Inputs!$C$33*Inputs!$C$9)/Inputs!$C$8,0)</f>
        <v>0.0170909090909091</v>
      </c>
      <c r="AA46" s="22" t="n">
        <f aca="false">IF(Inputs!$C$32="Cash",Y46,Z46)</f>
        <v>0.0124339741267216</v>
      </c>
      <c r="AB46" s="44" t="n">
        <f aca="false">Q46+R46+S46+T46+U46+V46+W46+X46+AA46</f>
        <v>0.485807826555777</v>
      </c>
      <c r="AC46" s="31" t="n">
        <f aca="false">AB46*Inputs!$C$8</f>
        <v>68013.0957178088</v>
      </c>
      <c r="AD46" s="31" t="n">
        <f aca="false">AB46*Inputs!$C$5</f>
        <v>26719.4304605678</v>
      </c>
      <c r="AE46" s="45" t="n">
        <f aca="false">RANK(AB46,$AB$7:$AB$82,1)</f>
        <v>21</v>
      </c>
      <c r="AF46" s="41" t="n">
        <v>66.2</v>
      </c>
      <c r="AG46" s="41" t="n">
        <v>71.3</v>
      </c>
      <c r="AH46" s="46" t="n">
        <v>54.3</v>
      </c>
      <c r="AI46" s="38" t="s">
        <v>193</v>
      </c>
      <c r="AJ46" s="47" t="n">
        <f aca="false">MIN(G46,G46*Depreciation!$E$33*F46)</f>
        <v>6461.37481698945</v>
      </c>
      <c r="AK46" s="48" t="n">
        <f aca="false">IFERROR((G46-AJ46)/(2*Inputs!$C$5),0)</f>
        <v>0.168532956209187</v>
      </c>
    </row>
    <row r="47" customFormat="false" ht="25.5" hidden="false" customHeight="true" outlineLevel="0" collapsed="false">
      <c r="A47" s="35" t="s">
        <v>311</v>
      </c>
      <c r="B47" s="35" t="s">
        <v>265</v>
      </c>
      <c r="C47" s="49" t="s">
        <v>208</v>
      </c>
      <c r="D47" s="24" t="n">
        <v>0.51</v>
      </c>
      <c r="E47" s="38" t="s">
        <v>231</v>
      </c>
      <c r="F47" s="39" t="n">
        <f aca="false">(1-D47)/(1-Inputs!$C$54)</f>
        <v>0.841924398625429</v>
      </c>
      <c r="G47" s="40" t="n">
        <v>25000</v>
      </c>
      <c r="H47" s="41" t="n">
        <v>27</v>
      </c>
      <c r="I47" s="42" t="s">
        <v>187</v>
      </c>
      <c r="J47" s="42" t="s">
        <v>232</v>
      </c>
      <c r="K47" s="42" t="s">
        <v>260</v>
      </c>
      <c r="L47" s="42" t="s">
        <v>226</v>
      </c>
      <c r="M47" s="38" t="s">
        <v>227</v>
      </c>
      <c r="N47" s="43" t="s">
        <v>312</v>
      </c>
      <c r="O47" s="31" t="n">
        <f aca="false">MIN(G47,G47*Depreciation!$C$23*F47)</f>
        <v>5394.15897643052</v>
      </c>
      <c r="P47" s="31" t="n">
        <f aca="false">G47-O47</f>
        <v>19605.8410235695</v>
      </c>
      <c r="Q47" s="22" t="n">
        <f aca="false">IFERROR(P47/Inputs!$C$8,0)</f>
        <v>0.140041721596925</v>
      </c>
      <c r="R47" s="22" t="n">
        <f aca="false">IFERROR(IF(I47="Diesel",Inputs!$C$14,Inputs!$C$13)/H47,0)</f>
        <v>0.131481481481481</v>
      </c>
      <c r="S47" s="22" t="n">
        <f aca="false">IFERROR(IF(J47="Truck",Inputs!$C$16,Inputs!$C$15)/Inputs!$C$17,0)</f>
        <v>0.0163636363636364</v>
      </c>
      <c r="T47" s="22" t="n">
        <f aca="false">Inputs!$C$18</f>
        <v>0.08</v>
      </c>
      <c r="U47" s="22" t="n">
        <f aca="false">Inputs!$C$29</f>
        <v>0.0557142857142857</v>
      </c>
      <c r="V47" s="22" t="n">
        <f aca="false">IFERROR(Inputs!$C$19/Inputs!$C$5,0)</f>
        <v>0.0290909090909091</v>
      </c>
      <c r="W47" s="22" t="n">
        <f aca="false">IFERROR(Inputs!$C$20/Inputs!$C$5,0)</f>
        <v>0.00818181818181818</v>
      </c>
      <c r="X47" s="22" t="n">
        <f aca="false">IFERROR(G47*Inputs!$C$46/Inputs!$C$8,0)</f>
        <v>0.0125</v>
      </c>
      <c r="Y47" s="22" t="n">
        <f aca="false">IFERROR((G47+O47)/2*Inputs!$C$33*Inputs!$C$9/Inputs!$C$8,0)</f>
        <v>0.0124339741267216</v>
      </c>
      <c r="Z47" s="22" t="n">
        <f aca="false">IFERROR((G47*(1-Inputs!$C$35)*Inputs!$C$36*Inputs!$C$34*Inputs!$C$9+G47*Inputs!$C$35*Inputs!$C$33*Inputs!$C$9)/Inputs!$C$8,0)</f>
        <v>0.0170909090909091</v>
      </c>
      <c r="AA47" s="22" t="n">
        <f aca="false">IF(Inputs!$C$32="Cash",Y47,Z47)</f>
        <v>0.0124339741267216</v>
      </c>
      <c r="AB47" s="44" t="n">
        <f aca="false">Q47+R47+S47+T47+U47+V47+W47+X47+AA47</f>
        <v>0.485807826555777</v>
      </c>
      <c r="AC47" s="31" t="n">
        <f aca="false">AB47*Inputs!$C$8</f>
        <v>68013.0957178088</v>
      </c>
      <c r="AD47" s="31" t="n">
        <f aca="false">AB47*Inputs!$C$5</f>
        <v>26719.4304605678</v>
      </c>
      <c r="AE47" s="45" t="n">
        <f aca="false">RANK(AB47,$AB$7:$AB$82,1)</f>
        <v>21</v>
      </c>
      <c r="AF47" s="41" t="n">
        <v>62.7</v>
      </c>
      <c r="AG47" s="41" t="n">
        <v>72.2</v>
      </c>
      <c r="AH47" s="46" t="n">
        <v>54.2</v>
      </c>
      <c r="AI47" s="38" t="s">
        <v>193</v>
      </c>
      <c r="AJ47" s="47" t="n">
        <f aca="false">MIN(G47,G47*Depreciation!$E$33*F47)</f>
        <v>6461.37481698945</v>
      </c>
      <c r="AK47" s="48" t="n">
        <f aca="false">IFERROR((G47-AJ47)/(2*Inputs!$C$5),0)</f>
        <v>0.168532956209187</v>
      </c>
    </row>
    <row r="48" customFormat="false" ht="25.5" hidden="false" customHeight="true" outlineLevel="0" collapsed="false">
      <c r="A48" s="35" t="s">
        <v>313</v>
      </c>
      <c r="B48" s="35" t="s">
        <v>239</v>
      </c>
      <c r="C48" s="49" t="s">
        <v>208</v>
      </c>
      <c r="D48" s="24" t="n">
        <v>0.51</v>
      </c>
      <c r="E48" s="38" t="s">
        <v>231</v>
      </c>
      <c r="F48" s="39" t="n">
        <f aca="false">(1-D48)/(1-Inputs!$C$54)</f>
        <v>0.841924398625429</v>
      </c>
      <c r="G48" s="40" t="n">
        <v>19000</v>
      </c>
      <c r="H48" s="41" t="n">
        <v>29</v>
      </c>
      <c r="I48" s="42" t="s">
        <v>187</v>
      </c>
      <c r="J48" s="42" t="s">
        <v>232</v>
      </c>
      <c r="K48" s="42" t="s">
        <v>240</v>
      </c>
      <c r="L48" s="42" t="s">
        <v>226</v>
      </c>
      <c r="M48" s="38" t="s">
        <v>227</v>
      </c>
      <c r="N48" s="43" t="s">
        <v>314</v>
      </c>
      <c r="O48" s="31" t="n">
        <f aca="false">MIN(G48,G48*Depreciation!$C$23*F48)</f>
        <v>4099.56082208719</v>
      </c>
      <c r="P48" s="31" t="n">
        <f aca="false">G48-O48</f>
        <v>14900.4391779128</v>
      </c>
      <c r="Q48" s="22" t="n">
        <f aca="false">IFERROR(P48/Inputs!$C$8,0)</f>
        <v>0.106431708413663</v>
      </c>
      <c r="R48" s="22" t="n">
        <f aca="false">IFERROR(IF(I48="Diesel",Inputs!$C$14,Inputs!$C$13)/H48,0)</f>
        <v>0.122413793103448</v>
      </c>
      <c r="S48" s="22" t="n">
        <f aca="false">IFERROR(IF(J48="Truck",Inputs!$C$16,Inputs!$C$15)/Inputs!$C$17,0)</f>
        <v>0.0163636363636364</v>
      </c>
      <c r="T48" s="22" t="n">
        <f aca="false">Inputs!$C$18</f>
        <v>0.08</v>
      </c>
      <c r="U48" s="22" t="n">
        <f aca="false">Inputs!$C$29</f>
        <v>0.0557142857142857</v>
      </c>
      <c r="V48" s="22" t="n">
        <f aca="false">IFERROR(Inputs!$C$19/Inputs!$C$5,0)</f>
        <v>0.0290909090909091</v>
      </c>
      <c r="W48" s="22" t="n">
        <f aca="false">IFERROR(Inputs!$C$20/Inputs!$C$5,0)</f>
        <v>0.00818181818181818</v>
      </c>
      <c r="X48" s="22" t="n">
        <f aca="false">IFERROR(G48*Inputs!$C$46/Inputs!$C$8,0)</f>
        <v>0.0095</v>
      </c>
      <c r="Y48" s="22" t="n">
        <f aca="false">IFERROR((G48+O48)/2*Inputs!$C$33*Inputs!$C$9/Inputs!$C$8,0)</f>
        <v>0.0094498203363084</v>
      </c>
      <c r="Z48" s="22" t="n">
        <f aca="false">IFERROR((G48*(1-Inputs!$C$35)*Inputs!$C$36*Inputs!$C$34*Inputs!$C$9+G48*Inputs!$C$35*Inputs!$C$33*Inputs!$C$9)/Inputs!$C$8,0)</f>
        <v>0.0129890909090909</v>
      </c>
      <c r="AA48" s="22" t="n">
        <f aca="false">IF(Inputs!$C$32="Cash",Y48,Z48)</f>
        <v>0.0094498203363084</v>
      </c>
      <c r="AB48" s="44" t="n">
        <f aca="false">Q48+R48+S48+T48+U48+V48+W48+X48+AA48</f>
        <v>0.437145971204069</v>
      </c>
      <c r="AC48" s="31" t="n">
        <f aca="false">AB48*Inputs!$C$8</f>
        <v>61200.4359685697</v>
      </c>
      <c r="AD48" s="31" t="n">
        <f aca="false">AB48*Inputs!$C$5</f>
        <v>24043.0284162238</v>
      </c>
      <c r="AE48" s="45" t="n">
        <f aca="false">RANK(AB48,$AB$7:$AB$82,1)</f>
        <v>2</v>
      </c>
      <c r="AF48" s="41" t="n">
        <v>53.6</v>
      </c>
      <c r="AG48" s="41" t="n">
        <v>34.3</v>
      </c>
      <c r="AH48" s="46" t="n">
        <v>58.3</v>
      </c>
      <c r="AI48" s="38" t="s">
        <v>193</v>
      </c>
      <c r="AJ48" s="47" t="n">
        <f aca="false">MIN(G48,G48*Depreciation!$E$33*F48)</f>
        <v>4910.64486091198</v>
      </c>
      <c r="AK48" s="48" t="n">
        <f aca="false">IFERROR((G48-AJ48)/(2*Inputs!$C$5),0)</f>
        <v>0.128085046718982</v>
      </c>
    </row>
    <row r="49" customFormat="false" ht="25.5" hidden="false" customHeight="true" outlineLevel="0" collapsed="false">
      <c r="A49" s="35" t="s">
        <v>315</v>
      </c>
      <c r="B49" s="35" t="s">
        <v>239</v>
      </c>
      <c r="C49" s="37" t="s">
        <v>185</v>
      </c>
      <c r="D49" s="24" t="n">
        <v>0.38</v>
      </c>
      <c r="E49" s="38" t="s">
        <v>225</v>
      </c>
      <c r="F49" s="39" t="n">
        <f aca="false">(1-D49)/(1-Inputs!$C$54)</f>
        <v>1.06529209621993</v>
      </c>
      <c r="G49" s="40" t="n">
        <v>28000</v>
      </c>
      <c r="H49" s="41" t="n">
        <v>38</v>
      </c>
      <c r="I49" s="42" t="s">
        <v>268</v>
      </c>
      <c r="J49" s="42" t="s">
        <v>232</v>
      </c>
      <c r="K49" s="42" t="s">
        <v>240</v>
      </c>
      <c r="L49" s="42" t="s">
        <v>226</v>
      </c>
      <c r="M49" s="38" t="s">
        <v>227</v>
      </c>
      <c r="N49" s="43" t="s">
        <v>316</v>
      </c>
      <c r="O49" s="31" t="n">
        <f aca="false">MIN(G49,G49*Depreciation!$C$23*F49)</f>
        <v>7644.29386374153</v>
      </c>
      <c r="P49" s="31" t="n">
        <f aca="false">G49-O49</f>
        <v>20355.7061362585</v>
      </c>
      <c r="Q49" s="22" t="n">
        <f aca="false">IFERROR(P49/Inputs!$C$8,0)</f>
        <v>0.145397900973275</v>
      </c>
      <c r="R49" s="22" t="n">
        <f aca="false">IFERROR(IF(I49="Diesel",Inputs!$C$14,Inputs!$C$13)/H49,0)</f>
        <v>0.093421052631579</v>
      </c>
      <c r="S49" s="22" t="n">
        <f aca="false">IFERROR(IF(J49="Truck",Inputs!$C$16,Inputs!$C$15)/Inputs!$C$17,0)</f>
        <v>0.0163636363636364</v>
      </c>
      <c r="T49" s="22" t="n">
        <f aca="false">Inputs!$C$18</f>
        <v>0.08</v>
      </c>
      <c r="U49" s="22" t="n">
        <f aca="false">Inputs!$C$29</f>
        <v>0.0557142857142857</v>
      </c>
      <c r="V49" s="22" t="n">
        <f aca="false">IFERROR(Inputs!$C$19/Inputs!$C$5,0)</f>
        <v>0.0290909090909091</v>
      </c>
      <c r="W49" s="22" t="n">
        <f aca="false">IFERROR(Inputs!$C$20/Inputs!$C$5,0)</f>
        <v>0.00818181818181818</v>
      </c>
      <c r="X49" s="22" t="n">
        <f aca="false">IFERROR(G49*Inputs!$C$46/Inputs!$C$8,0)</f>
        <v>0.014</v>
      </c>
      <c r="Y49" s="22" t="n">
        <f aca="false">IFERROR((G49+O49)/2*Inputs!$C$33*Inputs!$C$9/Inputs!$C$8,0)</f>
        <v>0.0145817565806215</v>
      </c>
      <c r="Z49" s="22" t="n">
        <f aca="false">IFERROR((G49*(1-Inputs!$C$35)*Inputs!$C$36*Inputs!$C$34*Inputs!$C$9+G49*Inputs!$C$35*Inputs!$C$33*Inputs!$C$9)/Inputs!$C$8,0)</f>
        <v>0.0191418181818182</v>
      </c>
      <c r="AA49" s="22" t="n">
        <f aca="false">IF(Inputs!$C$32="Cash",Y49,Z49)</f>
        <v>0.0145817565806215</v>
      </c>
      <c r="AB49" s="44" t="n">
        <f aca="false">Q49+R49+S49+T49+U49+V49+W49+X49+AA49</f>
        <v>0.456751359536125</v>
      </c>
      <c r="AC49" s="31" t="n">
        <f aca="false">AB49*Inputs!$C$8</f>
        <v>63945.1903350575</v>
      </c>
      <c r="AD49" s="31" t="n">
        <f aca="false">AB49*Inputs!$C$5</f>
        <v>25121.3247744869</v>
      </c>
      <c r="AE49" s="45" t="n">
        <f aca="false">RANK(AB49,$AB$7:$AB$82,1)</f>
        <v>6</v>
      </c>
      <c r="AF49" s="41" t="n">
        <v>100</v>
      </c>
      <c r="AG49" s="41" t="n">
        <v>57.4</v>
      </c>
      <c r="AH49" s="46" t="n">
        <v>55.8</v>
      </c>
      <c r="AI49" s="38" t="s">
        <v>193</v>
      </c>
      <c r="AJ49" s="47" t="n">
        <f aca="false">MIN(G49,G49*Depreciation!$E$33*F49)</f>
        <v>9156.69116921933</v>
      </c>
      <c r="AK49" s="48" t="n">
        <f aca="false">IFERROR((G49-AJ49)/(2*Inputs!$C$5),0)</f>
        <v>0.171302807552552</v>
      </c>
    </row>
    <row r="50" customFormat="false" ht="25.5" hidden="false" customHeight="true" outlineLevel="0" collapsed="false">
      <c r="A50" s="35" t="s">
        <v>317</v>
      </c>
      <c r="B50" s="35" t="s">
        <v>318</v>
      </c>
      <c r="C50" s="49" t="s">
        <v>208</v>
      </c>
      <c r="D50" s="24" t="n">
        <v>0.34</v>
      </c>
      <c r="E50" s="38" t="s">
        <v>198</v>
      </c>
      <c r="F50" s="39" t="n">
        <f aca="false">(1-D50)/(1-Inputs!$C$54)</f>
        <v>1.1340206185567</v>
      </c>
      <c r="G50" s="40" t="n">
        <v>20000</v>
      </c>
      <c r="H50" s="41" t="n">
        <v>31</v>
      </c>
      <c r="I50" s="42" t="s">
        <v>187</v>
      </c>
      <c r="J50" s="42" t="s">
        <v>232</v>
      </c>
      <c r="K50" s="42" t="s">
        <v>240</v>
      </c>
      <c r="L50" s="42" t="s">
        <v>226</v>
      </c>
      <c r="M50" s="38" t="s">
        <v>227</v>
      </c>
      <c r="N50" s="43" t="s">
        <v>319</v>
      </c>
      <c r="O50" s="31" t="n">
        <f aca="false">MIN(G50,G50*Depreciation!$C$23*F50)</f>
        <v>5812.48150929656</v>
      </c>
      <c r="P50" s="31" t="n">
        <f aca="false">G50-O50</f>
        <v>14187.5184907034</v>
      </c>
      <c r="Q50" s="22" t="n">
        <f aca="false">IFERROR(P50/Inputs!$C$8,0)</f>
        <v>0.101339417790739</v>
      </c>
      <c r="R50" s="22" t="n">
        <f aca="false">IFERROR(IF(I50="Diesel",Inputs!$C$14,Inputs!$C$13)/H50,0)</f>
        <v>0.114516129032258</v>
      </c>
      <c r="S50" s="22" t="n">
        <f aca="false">IFERROR(IF(J50="Truck",Inputs!$C$16,Inputs!$C$15)/Inputs!$C$17,0)</f>
        <v>0.0163636363636364</v>
      </c>
      <c r="T50" s="22" t="n">
        <f aca="false">Inputs!$C$18</f>
        <v>0.08</v>
      </c>
      <c r="U50" s="22" t="n">
        <f aca="false">Inputs!$C$29</f>
        <v>0.0557142857142857</v>
      </c>
      <c r="V50" s="22" t="n">
        <f aca="false">IFERROR(Inputs!$C$19/Inputs!$C$5,0)</f>
        <v>0.0290909090909091</v>
      </c>
      <c r="W50" s="22" t="n">
        <f aca="false">IFERROR(Inputs!$C$20/Inputs!$C$5,0)</f>
        <v>0.00818181818181818</v>
      </c>
      <c r="X50" s="22" t="n">
        <f aca="false">IFERROR(G50*Inputs!$C$46/Inputs!$C$8,0)</f>
        <v>0.01</v>
      </c>
      <c r="Y50" s="22" t="n">
        <f aca="false">IFERROR((G50+O50)/2*Inputs!$C$33*Inputs!$C$9/Inputs!$C$8,0)</f>
        <v>0.0105596515265304</v>
      </c>
      <c r="Z50" s="22" t="n">
        <f aca="false">IFERROR((G50*(1-Inputs!$C$35)*Inputs!$C$36*Inputs!$C$34*Inputs!$C$9+G50*Inputs!$C$35*Inputs!$C$33*Inputs!$C$9)/Inputs!$C$8,0)</f>
        <v>0.0136727272727273</v>
      </c>
      <c r="AA50" s="22" t="n">
        <f aca="false">IF(Inputs!$C$32="Cash",Y50,Z50)</f>
        <v>0.0105596515265304</v>
      </c>
      <c r="AB50" s="44" t="n">
        <f aca="false">Q50+R50+S50+T50+U50+V50+W50+X50+AA50</f>
        <v>0.425765847700177</v>
      </c>
      <c r="AC50" s="31" t="n">
        <f aca="false">AB50*Inputs!$C$8</f>
        <v>59607.2186780248</v>
      </c>
      <c r="AD50" s="31" t="n">
        <f aca="false">AB50*Inputs!$C$5</f>
        <v>23417.1216235097</v>
      </c>
      <c r="AE50" s="45" t="n">
        <f aca="false">RANK(AB50,$AB$7:$AB$82,1)</f>
        <v>1</v>
      </c>
      <c r="AF50" s="41" t="n">
        <v>89.4</v>
      </c>
      <c r="AG50" s="41" t="n">
        <v>47.2</v>
      </c>
      <c r="AH50" s="46" t="n">
        <v>56.9</v>
      </c>
      <c r="AI50" s="38" t="s">
        <v>193</v>
      </c>
      <c r="AJ50" s="47" t="n">
        <f aca="false">MIN(G50,G50*Depreciation!$E$33*F50)</f>
        <v>6962.46102728659</v>
      </c>
      <c r="AK50" s="48" t="n">
        <f aca="false">IFERROR((G50-AJ50)/(2*Inputs!$C$5),0)</f>
        <v>0.118523081570122</v>
      </c>
    </row>
    <row r="51" customFormat="false" ht="25.5" hidden="false" customHeight="true" outlineLevel="0" collapsed="false">
      <c r="A51" s="35" t="s">
        <v>320</v>
      </c>
      <c r="B51" s="35" t="s">
        <v>321</v>
      </c>
      <c r="C51" s="37" t="s">
        <v>185</v>
      </c>
      <c r="D51" s="24" t="n">
        <v>0.427</v>
      </c>
      <c r="E51" s="38" t="s">
        <v>198</v>
      </c>
      <c r="F51" s="39" t="n">
        <f aca="false">(1-D51)/(1-Inputs!$C$54)</f>
        <v>0.984536082474227</v>
      </c>
      <c r="G51" s="40" t="n">
        <v>46000</v>
      </c>
      <c r="H51" s="41" t="n">
        <v>29</v>
      </c>
      <c r="I51" s="42" t="s">
        <v>187</v>
      </c>
      <c r="J51" s="42" t="s">
        <v>232</v>
      </c>
      <c r="K51" s="42" t="s">
        <v>260</v>
      </c>
      <c r="L51" s="42" t="s">
        <v>322</v>
      </c>
      <c r="M51" s="38" t="s">
        <v>191</v>
      </c>
      <c r="N51" s="43" t="s">
        <v>323</v>
      </c>
      <c r="O51" s="31" t="n">
        <f aca="false">MIN(G51,G51*Depreciation!$C$23*F51)</f>
        <v>11606.4687592453</v>
      </c>
      <c r="P51" s="31" t="n">
        <f aca="false">G51-O51</f>
        <v>34393.5312407547</v>
      </c>
      <c r="Q51" s="22" t="n">
        <f aca="false">IFERROR(P51/Inputs!$C$8,0)</f>
        <v>0.245668080291105</v>
      </c>
      <c r="R51" s="22" t="n">
        <f aca="false">IFERROR(IF(I51="Diesel",Inputs!$C$14,Inputs!$C$13)/H51,0)</f>
        <v>0.122413793103448</v>
      </c>
      <c r="S51" s="22" t="n">
        <f aca="false">IFERROR(IF(J51="Truck",Inputs!$C$16,Inputs!$C$15)/Inputs!$C$17,0)</f>
        <v>0.0163636363636364</v>
      </c>
      <c r="T51" s="22" t="n">
        <f aca="false">Inputs!$C$18</f>
        <v>0.08</v>
      </c>
      <c r="U51" s="22" t="n">
        <f aca="false">Inputs!$C$29</f>
        <v>0.0557142857142857</v>
      </c>
      <c r="V51" s="22" t="n">
        <f aca="false">IFERROR(Inputs!$C$19/Inputs!$C$5,0)</f>
        <v>0.0290909090909091</v>
      </c>
      <c r="W51" s="22" t="n">
        <f aca="false">IFERROR(Inputs!$C$20/Inputs!$C$5,0)</f>
        <v>0.00818181818181818</v>
      </c>
      <c r="X51" s="22" t="n">
        <f aca="false">IFERROR(G51*Inputs!$C$46/Inputs!$C$8,0)</f>
        <v>0.023</v>
      </c>
      <c r="Y51" s="22" t="n">
        <f aca="false">IFERROR((G51+O51)/2*Inputs!$C$33*Inputs!$C$9/Inputs!$C$8,0)</f>
        <v>0.0235662826742367</v>
      </c>
      <c r="Z51" s="22" t="n">
        <f aca="false">IFERROR((G51*(1-Inputs!$C$35)*Inputs!$C$36*Inputs!$C$34*Inputs!$C$9+G51*Inputs!$C$35*Inputs!$C$33*Inputs!$C$9)/Inputs!$C$8,0)</f>
        <v>0.0314472727272727</v>
      </c>
      <c r="AA51" s="22" t="n">
        <f aca="false">IF(Inputs!$C$32="Cash",Y51,Z51)</f>
        <v>0.0235662826742367</v>
      </c>
      <c r="AB51" s="44" t="n">
        <f aca="false">Q51+R51+S51+T51+U51+V51+W51+X51+AA51</f>
        <v>0.603998805419439</v>
      </c>
      <c r="AC51" s="31" t="n">
        <f aca="false">AB51*Inputs!$C$8</f>
        <v>84559.8327587215</v>
      </c>
      <c r="AD51" s="31" t="n">
        <f aca="false">AB51*Inputs!$C$5</f>
        <v>33219.9342980692</v>
      </c>
      <c r="AE51" s="45" t="n">
        <f aca="false">RANK(AB51,$AB$7:$AB$82,1)</f>
        <v>58</v>
      </c>
      <c r="AF51" s="41" t="n">
        <v>90.9</v>
      </c>
      <c r="AG51" s="41" t="n">
        <v>75</v>
      </c>
      <c r="AH51" s="46" t="n">
        <v>53.9</v>
      </c>
      <c r="AI51" s="38" t="s">
        <v>193</v>
      </c>
      <c r="AJ51" s="47" t="n">
        <f aca="false">MIN(G51,G51*Depreciation!$E$33*F51)</f>
        <v>13902.7687694864</v>
      </c>
      <c r="AK51" s="48" t="n">
        <f aca="false">IFERROR((G51-AJ51)/(2*Inputs!$C$5),0)</f>
        <v>0.291793011186488</v>
      </c>
    </row>
    <row r="52" customFormat="false" ht="25.5" hidden="false" customHeight="true" outlineLevel="0" collapsed="false">
      <c r="A52" s="35" t="s">
        <v>324</v>
      </c>
      <c r="B52" s="35" t="s">
        <v>321</v>
      </c>
      <c r="C52" s="37" t="s">
        <v>185</v>
      </c>
      <c r="D52" s="24" t="n">
        <v>0.427</v>
      </c>
      <c r="E52" s="38" t="s">
        <v>198</v>
      </c>
      <c r="F52" s="39" t="n">
        <f aca="false">(1-D52)/(1-Inputs!$C$54)</f>
        <v>0.984536082474227</v>
      </c>
      <c r="G52" s="40" t="n">
        <v>48000</v>
      </c>
      <c r="H52" s="41" t="n">
        <v>35</v>
      </c>
      <c r="I52" s="42" t="s">
        <v>268</v>
      </c>
      <c r="J52" s="42" t="s">
        <v>232</v>
      </c>
      <c r="K52" s="42" t="s">
        <v>260</v>
      </c>
      <c r="L52" s="42" t="s">
        <v>325</v>
      </c>
      <c r="M52" s="38" t="s">
        <v>191</v>
      </c>
      <c r="N52" s="43" t="s">
        <v>326</v>
      </c>
      <c r="O52" s="31" t="n">
        <f aca="false">MIN(G52,G52*Depreciation!$C$23*F52)</f>
        <v>12111.0978357343</v>
      </c>
      <c r="P52" s="31" t="n">
        <f aca="false">G52-O52</f>
        <v>35888.9021642657</v>
      </c>
      <c r="Q52" s="22" t="n">
        <f aca="false">IFERROR(P52/Inputs!$C$8,0)</f>
        <v>0.256349301173327</v>
      </c>
      <c r="R52" s="22" t="n">
        <f aca="false">IFERROR(IF(I52="Diesel",Inputs!$C$14,Inputs!$C$13)/H52,0)</f>
        <v>0.101428571428571</v>
      </c>
      <c r="S52" s="22" t="n">
        <f aca="false">IFERROR(IF(J52="Truck",Inputs!$C$16,Inputs!$C$15)/Inputs!$C$17,0)</f>
        <v>0.0163636363636364</v>
      </c>
      <c r="T52" s="22" t="n">
        <f aca="false">Inputs!$C$18</f>
        <v>0.08</v>
      </c>
      <c r="U52" s="22" t="n">
        <f aca="false">Inputs!$C$29</f>
        <v>0.0557142857142857</v>
      </c>
      <c r="V52" s="22" t="n">
        <f aca="false">IFERROR(Inputs!$C$19/Inputs!$C$5,0)</f>
        <v>0.0290909090909091</v>
      </c>
      <c r="W52" s="22" t="n">
        <f aca="false">IFERROR(Inputs!$C$20/Inputs!$C$5,0)</f>
        <v>0.00818181818181818</v>
      </c>
      <c r="X52" s="22" t="n">
        <f aca="false">IFERROR(G52*Inputs!$C$46/Inputs!$C$8,0)</f>
        <v>0.024</v>
      </c>
      <c r="Y52" s="22" t="n">
        <f aca="false">IFERROR((G52+O52)/2*Inputs!$C$33*Inputs!$C$9/Inputs!$C$8,0)</f>
        <v>0.0245909036600731</v>
      </c>
      <c r="Z52" s="22" t="n">
        <f aca="false">IFERROR((G52*(1-Inputs!$C$35)*Inputs!$C$36*Inputs!$C$34*Inputs!$C$9+G52*Inputs!$C$35*Inputs!$C$33*Inputs!$C$9)/Inputs!$C$8,0)</f>
        <v>0.0328145454545455</v>
      </c>
      <c r="AA52" s="22" t="n">
        <f aca="false">IF(Inputs!$C$32="Cash",Y52,Z52)</f>
        <v>0.0245909036600731</v>
      </c>
      <c r="AB52" s="44" t="n">
        <f aca="false">Q52+R52+S52+T52+U52+V52+W52+X52+AA52</f>
        <v>0.595719425612621</v>
      </c>
      <c r="AC52" s="31" t="n">
        <f aca="false">AB52*Inputs!$C$8</f>
        <v>83400.7195857669</v>
      </c>
      <c r="AD52" s="31" t="n">
        <f aca="false">AB52*Inputs!$C$5</f>
        <v>32764.5684086941</v>
      </c>
      <c r="AE52" s="45" t="n">
        <f aca="false">RANK(AB52,$AB$7:$AB$82,1)</f>
        <v>55</v>
      </c>
      <c r="AF52" s="41" t="n">
        <v>90.9</v>
      </c>
      <c r="AG52" s="41" t="n">
        <v>83.3</v>
      </c>
      <c r="AH52" s="46" t="n">
        <v>53</v>
      </c>
      <c r="AI52" s="38" t="s">
        <v>193</v>
      </c>
      <c r="AJ52" s="47" t="n">
        <f aca="false">MIN(G52,G52*Depreciation!$E$33*F52)</f>
        <v>14507.2369768553</v>
      </c>
      <c r="AK52" s="48" t="n">
        <f aca="false">IFERROR((G52-AJ52)/(2*Inputs!$C$5),0)</f>
        <v>0.30447966384677</v>
      </c>
    </row>
    <row r="53" customFormat="false" ht="25.5" hidden="false" customHeight="true" outlineLevel="0" collapsed="false">
      <c r="A53" s="35" t="s">
        <v>327</v>
      </c>
      <c r="B53" s="35" t="s">
        <v>321</v>
      </c>
      <c r="C53" s="37" t="s">
        <v>185</v>
      </c>
      <c r="D53" s="24" t="n">
        <v>0.427</v>
      </c>
      <c r="E53" s="38" t="s">
        <v>225</v>
      </c>
      <c r="F53" s="39" t="n">
        <f aca="false">(1-D53)/(1-Inputs!$C$54)</f>
        <v>0.984536082474227</v>
      </c>
      <c r="G53" s="40" t="n">
        <v>38000</v>
      </c>
      <c r="H53" s="41" t="n">
        <v>34</v>
      </c>
      <c r="I53" s="42" t="s">
        <v>268</v>
      </c>
      <c r="J53" s="42" t="s">
        <v>232</v>
      </c>
      <c r="K53" s="42" t="s">
        <v>260</v>
      </c>
      <c r="L53" s="42" t="s">
        <v>226</v>
      </c>
      <c r="M53" s="38" t="s">
        <v>227</v>
      </c>
      <c r="N53" s="43" t="s">
        <v>328</v>
      </c>
      <c r="O53" s="31" t="n">
        <f aca="false">MIN(G53,G53*Depreciation!$C$23*F53)</f>
        <v>9587.95245328964</v>
      </c>
      <c r="P53" s="31" t="n">
        <f aca="false">G53-O53</f>
        <v>28412.0475467104</v>
      </c>
      <c r="Q53" s="22" t="n">
        <f aca="false">IFERROR(P53/Inputs!$C$8,0)</f>
        <v>0.202943196762217</v>
      </c>
      <c r="R53" s="22" t="n">
        <f aca="false">IFERROR(IF(I53="Diesel",Inputs!$C$14,Inputs!$C$13)/H53,0)</f>
        <v>0.104411764705882</v>
      </c>
      <c r="S53" s="22" t="n">
        <f aca="false">IFERROR(IF(J53="Truck",Inputs!$C$16,Inputs!$C$15)/Inputs!$C$17,0)</f>
        <v>0.0163636363636364</v>
      </c>
      <c r="T53" s="22" t="n">
        <f aca="false">Inputs!$C$18</f>
        <v>0.08</v>
      </c>
      <c r="U53" s="22" t="n">
        <f aca="false">Inputs!$C$29</f>
        <v>0.0557142857142857</v>
      </c>
      <c r="V53" s="22" t="n">
        <f aca="false">IFERROR(Inputs!$C$19/Inputs!$C$5,0)</f>
        <v>0.0290909090909091</v>
      </c>
      <c r="W53" s="22" t="n">
        <f aca="false">IFERROR(Inputs!$C$20/Inputs!$C$5,0)</f>
        <v>0.00818181818181818</v>
      </c>
      <c r="X53" s="22" t="n">
        <f aca="false">IFERROR(G53*Inputs!$C$46/Inputs!$C$8,0)</f>
        <v>0.019</v>
      </c>
      <c r="Y53" s="22" t="n">
        <f aca="false">IFERROR((G53+O53)/2*Inputs!$C$33*Inputs!$C$9/Inputs!$C$8,0)</f>
        <v>0.0194677987308912</v>
      </c>
      <c r="Z53" s="22" t="n">
        <f aca="false">IFERROR((G53*(1-Inputs!$C$35)*Inputs!$C$36*Inputs!$C$34*Inputs!$C$9+G53*Inputs!$C$35*Inputs!$C$33*Inputs!$C$9)/Inputs!$C$8,0)</f>
        <v>0.0259781818181818</v>
      </c>
      <c r="AA53" s="22" t="n">
        <f aca="false">IF(Inputs!$C$32="Cash",Y53,Z53)</f>
        <v>0.0194677987308912</v>
      </c>
      <c r="AB53" s="44" t="n">
        <f aca="false">Q53+R53+S53+T53+U53+V53+W53+X53+AA53</f>
        <v>0.53517340954964</v>
      </c>
      <c r="AC53" s="31" t="n">
        <f aca="false">AB53*Inputs!$C$8</f>
        <v>74924.2773369496</v>
      </c>
      <c r="AD53" s="31" t="n">
        <f aca="false">AB53*Inputs!$C$5</f>
        <v>29434.5375252302</v>
      </c>
      <c r="AE53" s="45" t="n">
        <f aca="false">RANK(AB53,$AB$7:$AB$82,1)</f>
        <v>34</v>
      </c>
      <c r="AF53" s="41" t="n">
        <v>90.9</v>
      </c>
      <c r="AG53" s="41" t="n">
        <v>54.6</v>
      </c>
      <c r="AH53" s="46" t="n">
        <v>56.1</v>
      </c>
      <c r="AI53" s="38" t="s">
        <v>193</v>
      </c>
      <c r="AJ53" s="47" t="n">
        <f aca="false">MIN(G53,G53*Depreciation!$E$33*F53)</f>
        <v>11484.8959400105</v>
      </c>
      <c r="AK53" s="48" t="n">
        <f aca="false">IFERROR((G53-AJ53)/(2*Inputs!$C$5),0)</f>
        <v>0.241046400545359</v>
      </c>
    </row>
    <row r="54" customFormat="false" ht="25.5" hidden="false" customHeight="true" outlineLevel="0" collapsed="false">
      <c r="A54" s="35" t="s">
        <v>329</v>
      </c>
      <c r="B54" s="35" t="s">
        <v>239</v>
      </c>
      <c r="C54" s="37" t="s">
        <v>185</v>
      </c>
      <c r="D54" s="24" t="n">
        <v>0.311</v>
      </c>
      <c r="E54" s="38" t="s">
        <v>198</v>
      </c>
      <c r="F54" s="39" t="n">
        <f aca="false">(1-D54)/(1-Inputs!$C$54)</f>
        <v>1.18384879725086</v>
      </c>
      <c r="G54" s="40" t="n">
        <v>30000</v>
      </c>
      <c r="H54" s="41" t="n">
        <v>35</v>
      </c>
      <c r="I54" s="42" t="s">
        <v>268</v>
      </c>
      <c r="J54" s="42" t="s">
        <v>232</v>
      </c>
      <c r="K54" s="42" t="s">
        <v>240</v>
      </c>
      <c r="L54" s="42" t="s">
        <v>226</v>
      </c>
      <c r="M54" s="38" t="s">
        <v>227</v>
      </c>
      <c r="N54" s="43" t="s">
        <v>330</v>
      </c>
      <c r="O54" s="31" t="n">
        <f aca="false">MIN(G54,G54*Depreciation!$C$23*F54)</f>
        <v>9101.81763614847</v>
      </c>
      <c r="P54" s="31" t="n">
        <f aca="false">G54-O54</f>
        <v>20898.1823638515</v>
      </c>
      <c r="Q54" s="22" t="n">
        <f aca="false">IFERROR(P54/Inputs!$C$8,0)</f>
        <v>0.149272731170368</v>
      </c>
      <c r="R54" s="22" t="n">
        <f aca="false">IFERROR(IF(I54="Diesel",Inputs!$C$14,Inputs!$C$13)/H54,0)</f>
        <v>0.101428571428571</v>
      </c>
      <c r="S54" s="22" t="n">
        <f aca="false">IFERROR(IF(J54="Truck",Inputs!$C$16,Inputs!$C$15)/Inputs!$C$17,0)</f>
        <v>0.0163636363636364</v>
      </c>
      <c r="T54" s="22" t="n">
        <f aca="false">Inputs!$C$18</f>
        <v>0.08</v>
      </c>
      <c r="U54" s="22" t="n">
        <f aca="false">Inputs!$C$29</f>
        <v>0.0557142857142857</v>
      </c>
      <c r="V54" s="22" t="n">
        <f aca="false">IFERROR(Inputs!$C$19/Inputs!$C$5,0)</f>
        <v>0.0290909090909091</v>
      </c>
      <c r="W54" s="22" t="n">
        <f aca="false">IFERROR(Inputs!$C$20/Inputs!$C$5,0)</f>
        <v>0.00818181818181818</v>
      </c>
      <c r="X54" s="22" t="n">
        <f aca="false">IFERROR(G54*Inputs!$C$46/Inputs!$C$8,0)</f>
        <v>0.015</v>
      </c>
      <c r="Y54" s="22" t="n">
        <f aca="false">IFERROR((G54+O54)/2*Inputs!$C$33*Inputs!$C$9/Inputs!$C$8,0)</f>
        <v>0.0159961981238789</v>
      </c>
      <c r="Z54" s="22" t="n">
        <f aca="false">IFERROR((G54*(1-Inputs!$C$35)*Inputs!$C$36*Inputs!$C$34*Inputs!$C$9+G54*Inputs!$C$35*Inputs!$C$33*Inputs!$C$9)/Inputs!$C$8,0)</f>
        <v>0.0205090909090909</v>
      </c>
      <c r="AA54" s="22" t="n">
        <f aca="false">IF(Inputs!$C$32="Cash",Y54,Z54)</f>
        <v>0.0159961981238789</v>
      </c>
      <c r="AB54" s="44" t="n">
        <f aca="false">Q54+R54+S54+T54+U54+V54+W54+X54+AA54</f>
        <v>0.471048150073468</v>
      </c>
      <c r="AC54" s="31" t="n">
        <f aca="false">AB54*Inputs!$C$8</f>
        <v>65946.7410102855</v>
      </c>
      <c r="AD54" s="31" t="n">
        <f aca="false">AB54*Inputs!$C$5</f>
        <v>25907.6482540407</v>
      </c>
      <c r="AE54" s="45" t="n">
        <f aca="false">RANK(AB54,$AB$7:$AB$82,1)</f>
        <v>12</v>
      </c>
      <c r="AF54" s="41" t="n">
        <v>100</v>
      </c>
      <c r="AG54" s="41" t="n">
        <v>51.9</v>
      </c>
      <c r="AH54" s="46" t="n">
        <v>56.4</v>
      </c>
      <c r="AI54" s="38" t="s">
        <v>193</v>
      </c>
      <c r="AJ54" s="47" t="n">
        <f aca="false">MIN(G54,G54*Depreciation!$E$33*F54)</f>
        <v>10902.5810177283</v>
      </c>
      <c r="AK54" s="48" t="n">
        <f aca="false">IFERROR((G54-AJ54)/(2*Inputs!$C$5),0)</f>
        <v>0.173612899838834</v>
      </c>
    </row>
    <row r="55" customFormat="false" ht="25.5" hidden="false" customHeight="true" outlineLevel="0" collapsed="false">
      <c r="A55" s="35" t="s">
        <v>331</v>
      </c>
      <c r="B55" s="35" t="s">
        <v>239</v>
      </c>
      <c r="C55" s="37" t="s">
        <v>185</v>
      </c>
      <c r="D55" s="24" t="n">
        <v>0.309</v>
      </c>
      <c r="E55" s="38" t="s">
        <v>198</v>
      </c>
      <c r="F55" s="39" t="n">
        <f aca="false">(1-D55)/(1-Inputs!$C$54)</f>
        <v>1.1872852233677</v>
      </c>
      <c r="G55" s="40" t="n">
        <v>27000</v>
      </c>
      <c r="H55" s="41" t="n">
        <v>28</v>
      </c>
      <c r="I55" s="42" t="s">
        <v>187</v>
      </c>
      <c r="J55" s="42" t="s">
        <v>232</v>
      </c>
      <c r="K55" s="42" t="s">
        <v>240</v>
      </c>
      <c r="L55" s="42" t="s">
        <v>332</v>
      </c>
      <c r="M55" s="38" t="s">
        <v>210</v>
      </c>
      <c r="N55" s="43" t="s">
        <v>333</v>
      </c>
      <c r="O55" s="31" t="n">
        <f aca="false">MIN(G55,G55*Depreciation!$C$23*F55)</f>
        <v>8215.41420598075</v>
      </c>
      <c r="P55" s="31" t="n">
        <f aca="false">G55-O55</f>
        <v>18784.5857940193</v>
      </c>
      <c r="Q55" s="22" t="n">
        <f aca="false">IFERROR(P55/Inputs!$C$8,0)</f>
        <v>0.134175612814423</v>
      </c>
      <c r="R55" s="22" t="n">
        <f aca="false">IFERROR(IF(I55="Diesel",Inputs!$C$14,Inputs!$C$13)/H55,0)</f>
        <v>0.126785714285714</v>
      </c>
      <c r="S55" s="22" t="n">
        <f aca="false">IFERROR(IF(J55="Truck",Inputs!$C$16,Inputs!$C$15)/Inputs!$C$17,0)</f>
        <v>0.0163636363636364</v>
      </c>
      <c r="T55" s="22" t="n">
        <f aca="false">Inputs!$C$18</f>
        <v>0.08</v>
      </c>
      <c r="U55" s="22" t="n">
        <f aca="false">Inputs!$C$29</f>
        <v>0.0557142857142857</v>
      </c>
      <c r="V55" s="22" t="n">
        <f aca="false">IFERROR(Inputs!$C$19/Inputs!$C$5,0)</f>
        <v>0.0290909090909091</v>
      </c>
      <c r="W55" s="22" t="n">
        <f aca="false">IFERROR(Inputs!$C$20/Inputs!$C$5,0)</f>
        <v>0.00818181818181818</v>
      </c>
      <c r="X55" s="22" t="n">
        <f aca="false">IFERROR(G55*Inputs!$C$46/Inputs!$C$8,0)</f>
        <v>0.0135</v>
      </c>
      <c r="Y55" s="22" t="n">
        <f aca="false">IFERROR((G55+O55)/2*Inputs!$C$33*Inputs!$C$9/Inputs!$C$8,0)</f>
        <v>0.0144063058115376</v>
      </c>
      <c r="Z55" s="22" t="n">
        <f aca="false">IFERROR((G55*(1-Inputs!$C$35)*Inputs!$C$36*Inputs!$C$34*Inputs!$C$9+G55*Inputs!$C$35*Inputs!$C$33*Inputs!$C$9)/Inputs!$C$8,0)</f>
        <v>0.0184581818181818</v>
      </c>
      <c r="AA55" s="22" t="n">
        <f aca="false">IF(Inputs!$C$32="Cash",Y55,Z55)</f>
        <v>0.0144063058115376</v>
      </c>
      <c r="AB55" s="44" t="n">
        <f aca="false">Q55+R55+S55+T55+U55+V55+W55+X55+AA55</f>
        <v>0.478218282262325</v>
      </c>
      <c r="AC55" s="31" t="n">
        <f aca="false">AB55*Inputs!$C$8</f>
        <v>66950.5595167254</v>
      </c>
      <c r="AD55" s="31" t="n">
        <f aca="false">AB55*Inputs!$C$5</f>
        <v>26302.0055244279</v>
      </c>
      <c r="AE55" s="45" t="n">
        <f aca="false">RANK(AB55,$AB$7:$AB$82,1)</f>
        <v>16</v>
      </c>
      <c r="AF55" s="41" t="n">
        <v>100</v>
      </c>
      <c r="AG55" s="41" t="n">
        <v>38.9</v>
      </c>
      <c r="AH55" s="46" t="n">
        <v>57.8</v>
      </c>
      <c r="AI55" s="38" t="s">
        <v>193</v>
      </c>
      <c r="AJ55" s="47" t="n">
        <f aca="false">MIN(G55,G55*Depreciation!$E$33*F55)</f>
        <v>9840.80571106711</v>
      </c>
      <c r="AK55" s="48" t="n">
        <f aca="false">IFERROR((G55-AJ55)/(2*Inputs!$C$5),0)</f>
        <v>0.155992675353935</v>
      </c>
    </row>
    <row r="56" customFormat="false" ht="25.5" hidden="false" customHeight="true" outlineLevel="0" collapsed="false">
      <c r="A56" s="35" t="s">
        <v>334</v>
      </c>
      <c r="B56" s="35" t="s">
        <v>239</v>
      </c>
      <c r="C56" s="37" t="s">
        <v>185</v>
      </c>
      <c r="D56" s="24" t="n">
        <v>0.352</v>
      </c>
      <c r="E56" s="38" t="s">
        <v>198</v>
      </c>
      <c r="F56" s="39" t="n">
        <f aca="false">(1-D56)/(1-Inputs!$C$54)</f>
        <v>1.11340206185567</v>
      </c>
      <c r="G56" s="40" t="n">
        <v>26000</v>
      </c>
      <c r="H56" s="41" t="n">
        <v>29</v>
      </c>
      <c r="I56" s="42" t="s">
        <v>187</v>
      </c>
      <c r="J56" s="42" t="s">
        <v>232</v>
      </c>
      <c r="K56" s="42" t="s">
        <v>240</v>
      </c>
      <c r="L56" s="42" t="s">
        <v>335</v>
      </c>
      <c r="M56" s="38" t="s">
        <v>210</v>
      </c>
      <c r="N56" s="43" t="s">
        <v>336</v>
      </c>
      <c r="O56" s="31" t="n">
        <f aca="false">MIN(G56,G56*Depreciation!$C$23*F56)</f>
        <v>7418.84003550215</v>
      </c>
      <c r="P56" s="31" t="n">
        <f aca="false">G56-O56</f>
        <v>18581.1599644979</v>
      </c>
      <c r="Q56" s="22" t="n">
        <f aca="false">IFERROR(P56/Inputs!$C$8,0)</f>
        <v>0.132722571174985</v>
      </c>
      <c r="R56" s="22" t="n">
        <f aca="false">IFERROR(IF(I56="Diesel",Inputs!$C$14,Inputs!$C$13)/H56,0)</f>
        <v>0.122413793103448</v>
      </c>
      <c r="S56" s="22" t="n">
        <f aca="false">IFERROR(IF(J56="Truck",Inputs!$C$16,Inputs!$C$15)/Inputs!$C$17,0)</f>
        <v>0.0163636363636364</v>
      </c>
      <c r="T56" s="22" t="n">
        <f aca="false">Inputs!$C$18</f>
        <v>0.08</v>
      </c>
      <c r="U56" s="22" t="n">
        <f aca="false">Inputs!$C$29</f>
        <v>0.0557142857142857</v>
      </c>
      <c r="V56" s="22" t="n">
        <f aca="false">IFERROR(Inputs!$C$19/Inputs!$C$5,0)</f>
        <v>0.0290909090909091</v>
      </c>
      <c r="W56" s="22" t="n">
        <f aca="false">IFERROR(Inputs!$C$20/Inputs!$C$5,0)</f>
        <v>0.00818181818181818</v>
      </c>
      <c r="X56" s="22" t="n">
        <f aca="false">IFERROR(G56*Inputs!$C$46/Inputs!$C$8,0)</f>
        <v>0.013</v>
      </c>
      <c r="Y56" s="22" t="n">
        <f aca="false">IFERROR((G56+O56)/2*Inputs!$C$33*Inputs!$C$9/Inputs!$C$8,0)</f>
        <v>0.0136713436508872</v>
      </c>
      <c r="Z56" s="22" t="n">
        <f aca="false">IFERROR((G56*(1-Inputs!$C$35)*Inputs!$C$36*Inputs!$C$34*Inputs!$C$9+G56*Inputs!$C$35*Inputs!$C$33*Inputs!$C$9)/Inputs!$C$8,0)</f>
        <v>0.0177745454545455</v>
      </c>
      <c r="AA56" s="22" t="n">
        <f aca="false">IF(Inputs!$C$32="Cash",Y56,Z56)</f>
        <v>0.0136713436508872</v>
      </c>
      <c r="AB56" s="44" t="n">
        <f aca="false">Q56+R56+S56+T56+U56+V56+W56+X56+AA56</f>
        <v>0.47115835727997</v>
      </c>
      <c r="AC56" s="31" t="n">
        <f aca="false">AB56*Inputs!$C$8</f>
        <v>65962.1700191957</v>
      </c>
      <c r="AD56" s="31" t="n">
        <f aca="false">AB56*Inputs!$C$5</f>
        <v>25913.7096503983</v>
      </c>
      <c r="AE56" s="45" t="n">
        <f aca="false">RANK(AB56,$AB$7:$AB$82,1)</f>
        <v>13</v>
      </c>
      <c r="AF56" s="41" t="n">
        <v>81.4</v>
      </c>
      <c r="AG56" s="41" t="n">
        <v>37</v>
      </c>
      <c r="AH56" s="46" t="n">
        <v>58</v>
      </c>
      <c r="AI56" s="38" t="s">
        <v>193</v>
      </c>
      <c r="AJ56" s="47" t="n">
        <f aca="false">MIN(G56,G56*Depreciation!$E$33*F56)</f>
        <v>8886.63207482761</v>
      </c>
      <c r="AK56" s="48" t="n">
        <f aca="false">IFERROR((G56-AJ56)/(2*Inputs!$C$5),0)</f>
        <v>0.155576072047022</v>
      </c>
    </row>
    <row r="57" customFormat="false" ht="25.5" hidden="false" customHeight="true" outlineLevel="0" collapsed="false">
      <c r="A57" s="35" t="s">
        <v>337</v>
      </c>
      <c r="B57" s="35" t="s">
        <v>239</v>
      </c>
      <c r="C57" s="37" t="s">
        <v>185</v>
      </c>
      <c r="D57" s="24" t="n">
        <v>0.413</v>
      </c>
      <c r="E57" s="38" t="s">
        <v>198</v>
      </c>
      <c r="F57" s="39" t="n">
        <f aca="false">(1-D57)/(1-Inputs!$C$54)</f>
        <v>1.0085910652921</v>
      </c>
      <c r="G57" s="40" t="n">
        <v>30000</v>
      </c>
      <c r="H57" s="41" t="n">
        <v>36</v>
      </c>
      <c r="I57" s="42" t="s">
        <v>268</v>
      </c>
      <c r="J57" s="42" t="s">
        <v>232</v>
      </c>
      <c r="K57" s="42" t="s">
        <v>240</v>
      </c>
      <c r="L57" s="42" t="s">
        <v>226</v>
      </c>
      <c r="M57" s="38" t="s">
        <v>227</v>
      </c>
      <c r="N57" s="43" t="s">
        <v>338</v>
      </c>
      <c r="O57" s="31" t="n">
        <f aca="false">MIN(G57,G57*Depreciation!$C$23*F57)</f>
        <v>7754.37874081154</v>
      </c>
      <c r="P57" s="31" t="n">
        <f aca="false">G57-O57</f>
        <v>22245.6212591885</v>
      </c>
      <c r="Q57" s="22" t="n">
        <f aca="false">IFERROR(P57/Inputs!$C$8,0)</f>
        <v>0.158897294708489</v>
      </c>
      <c r="R57" s="22" t="n">
        <f aca="false">IFERROR(IF(I57="Diesel",Inputs!$C$14,Inputs!$C$13)/H57,0)</f>
        <v>0.0986111111111111</v>
      </c>
      <c r="S57" s="22" t="n">
        <f aca="false">IFERROR(IF(J57="Truck",Inputs!$C$16,Inputs!$C$15)/Inputs!$C$17,0)</f>
        <v>0.0163636363636364</v>
      </c>
      <c r="T57" s="22" t="n">
        <f aca="false">Inputs!$C$18</f>
        <v>0.08</v>
      </c>
      <c r="U57" s="22" t="n">
        <f aca="false">Inputs!$C$29</f>
        <v>0.0557142857142857</v>
      </c>
      <c r="V57" s="22" t="n">
        <f aca="false">IFERROR(Inputs!$C$19/Inputs!$C$5,0)</f>
        <v>0.0290909090909091</v>
      </c>
      <c r="W57" s="22" t="n">
        <f aca="false">IFERROR(Inputs!$C$20/Inputs!$C$5,0)</f>
        <v>0.00818181818181818</v>
      </c>
      <c r="X57" s="22" t="n">
        <f aca="false">IFERROR(G57*Inputs!$C$46/Inputs!$C$8,0)</f>
        <v>0.015</v>
      </c>
      <c r="Y57" s="22" t="n">
        <f aca="false">IFERROR((G57+O57)/2*Inputs!$C$33*Inputs!$C$9/Inputs!$C$8,0)</f>
        <v>0.0154449731212411</v>
      </c>
      <c r="Z57" s="22" t="n">
        <f aca="false">IFERROR((G57*(1-Inputs!$C$35)*Inputs!$C$36*Inputs!$C$34*Inputs!$C$9+G57*Inputs!$C$35*Inputs!$C$33*Inputs!$C$9)/Inputs!$C$8,0)</f>
        <v>0.0205090909090909</v>
      </c>
      <c r="AA57" s="22" t="n">
        <f aca="false">IF(Inputs!$C$32="Cash",Y57,Z57)</f>
        <v>0.0154449731212411</v>
      </c>
      <c r="AB57" s="44" t="n">
        <f aca="false">Q57+R57+S57+T57+U57+V57+W57+X57+AA57</f>
        <v>0.477304028291491</v>
      </c>
      <c r="AC57" s="31" t="n">
        <f aca="false">AB57*Inputs!$C$8</f>
        <v>66822.5639608087</v>
      </c>
      <c r="AD57" s="31" t="n">
        <f aca="false">AB57*Inputs!$C$5</f>
        <v>26251.721556032</v>
      </c>
      <c r="AE57" s="45" t="n">
        <f aca="false">RANK(AB57,$AB$7:$AB$82,1)</f>
        <v>15</v>
      </c>
      <c r="AF57" s="41" t="n">
        <v>89.4</v>
      </c>
      <c r="AG57" s="41" t="n">
        <v>24.1</v>
      </c>
      <c r="AH57" s="46" t="n">
        <v>59.4</v>
      </c>
      <c r="AI57" s="38" t="s">
        <v>193</v>
      </c>
      <c r="AJ57" s="47" t="n">
        <f aca="false">MIN(G57,G57*Depreciation!$E$33*F57)</f>
        <v>9288.55596140279</v>
      </c>
      <c r="AK57" s="48" t="n">
        <f aca="false">IFERROR((G57-AJ57)/(2*Inputs!$C$5),0)</f>
        <v>0.188285854896338</v>
      </c>
    </row>
    <row r="58" customFormat="false" ht="25.5" hidden="false" customHeight="true" outlineLevel="0" collapsed="false">
      <c r="A58" s="35" t="s">
        <v>339</v>
      </c>
      <c r="B58" s="35" t="s">
        <v>236</v>
      </c>
      <c r="C58" s="37" t="s">
        <v>185</v>
      </c>
      <c r="D58" s="24" t="n">
        <v>0.441</v>
      </c>
      <c r="E58" s="38" t="s">
        <v>198</v>
      </c>
      <c r="F58" s="39" t="n">
        <f aca="false">(1-D58)/(1-Inputs!$C$54)</f>
        <v>0.960481099656357</v>
      </c>
      <c r="G58" s="40" t="n">
        <v>30000</v>
      </c>
      <c r="H58" s="41" t="n">
        <v>23</v>
      </c>
      <c r="I58" s="42" t="s">
        <v>187</v>
      </c>
      <c r="J58" s="42" t="s">
        <v>232</v>
      </c>
      <c r="K58" s="42" t="s">
        <v>260</v>
      </c>
      <c r="L58" s="42" t="s">
        <v>340</v>
      </c>
      <c r="M58" s="38" t="s">
        <v>210</v>
      </c>
      <c r="N58" s="43" t="s">
        <v>341</v>
      </c>
      <c r="O58" s="31" t="n">
        <f aca="false">MIN(G58,G58*Depreciation!$C$23*F58)</f>
        <v>7384.49355385631</v>
      </c>
      <c r="P58" s="31" t="n">
        <f aca="false">G58-O58</f>
        <v>22615.5064461437</v>
      </c>
      <c r="Q58" s="22" t="n">
        <f aca="false">IFERROR(P58/Inputs!$C$8,0)</f>
        <v>0.161539331758169</v>
      </c>
      <c r="R58" s="22" t="n">
        <f aca="false">IFERROR(IF(I58="Diesel",Inputs!$C$14,Inputs!$C$13)/H58,0)</f>
        <v>0.154347826086957</v>
      </c>
      <c r="S58" s="22" t="n">
        <f aca="false">IFERROR(IF(J58="Truck",Inputs!$C$16,Inputs!$C$15)/Inputs!$C$17,0)</f>
        <v>0.0163636363636364</v>
      </c>
      <c r="T58" s="22" t="n">
        <f aca="false">Inputs!$C$18</f>
        <v>0.08</v>
      </c>
      <c r="U58" s="22" t="n">
        <f aca="false">Inputs!$C$29</f>
        <v>0.0557142857142857</v>
      </c>
      <c r="V58" s="22" t="n">
        <f aca="false">IFERROR(Inputs!$C$19/Inputs!$C$5,0)</f>
        <v>0.0290909090909091</v>
      </c>
      <c r="W58" s="22" t="n">
        <f aca="false">IFERROR(Inputs!$C$20/Inputs!$C$5,0)</f>
        <v>0.00818181818181818</v>
      </c>
      <c r="X58" s="22" t="n">
        <f aca="false">IFERROR(G58*Inputs!$C$46/Inputs!$C$8,0)</f>
        <v>0.015</v>
      </c>
      <c r="Y58" s="22" t="n">
        <f aca="false">IFERROR((G58+O58)/2*Inputs!$C$33*Inputs!$C$9/Inputs!$C$8,0)</f>
        <v>0.0152936564538503</v>
      </c>
      <c r="Z58" s="22" t="n">
        <f aca="false">IFERROR((G58*(1-Inputs!$C$35)*Inputs!$C$36*Inputs!$C$34*Inputs!$C$9+G58*Inputs!$C$35*Inputs!$C$33*Inputs!$C$9)/Inputs!$C$8,0)</f>
        <v>0.0205090909090909</v>
      </c>
      <c r="AA58" s="22" t="n">
        <f aca="false">IF(Inputs!$C$32="Cash",Y58,Z58)</f>
        <v>0.0152936564538503</v>
      </c>
      <c r="AB58" s="44" t="n">
        <f aca="false">Q58+R58+S58+T58+U58+V58+W58+X58+AA58</f>
        <v>0.535531463649625</v>
      </c>
      <c r="AC58" s="31" t="n">
        <f aca="false">AB58*Inputs!$C$8</f>
        <v>74974.4049109476</v>
      </c>
      <c r="AD58" s="31" t="n">
        <f aca="false">AB58*Inputs!$C$5</f>
        <v>29454.2305007294</v>
      </c>
      <c r="AE58" s="45" t="n">
        <f aca="false">RANK(AB58,$AB$7:$AB$82,1)</f>
        <v>36</v>
      </c>
      <c r="AF58" s="41" t="n">
        <v>89.4</v>
      </c>
      <c r="AG58" s="41" t="n">
        <v>25.7</v>
      </c>
      <c r="AH58" s="46" t="n">
        <v>58.9</v>
      </c>
      <c r="AI58" s="38" t="s">
        <v>193</v>
      </c>
      <c r="AJ58" s="47" t="n">
        <f aca="false">MIN(G58,G58*Depreciation!$E$33*F58)</f>
        <v>8845.49025966637</v>
      </c>
      <c r="AK58" s="48" t="n">
        <f aca="false">IFERROR((G58-AJ58)/(2*Inputs!$C$5),0)</f>
        <v>0.192313724912124</v>
      </c>
    </row>
    <row r="59" customFormat="false" ht="25.5" hidden="false" customHeight="true" outlineLevel="0" collapsed="false">
      <c r="A59" s="35" t="s">
        <v>342</v>
      </c>
      <c r="B59" s="35" t="s">
        <v>239</v>
      </c>
      <c r="C59" s="49" t="s">
        <v>208</v>
      </c>
      <c r="D59" s="24" t="n">
        <v>0.523</v>
      </c>
      <c r="E59" s="38" t="s">
        <v>198</v>
      </c>
      <c r="F59" s="39" t="n">
        <f aca="false">(1-D59)/(1-Inputs!$C$54)</f>
        <v>0.819587628865979</v>
      </c>
      <c r="G59" s="40" t="n">
        <v>24000</v>
      </c>
      <c r="H59" s="41" t="n">
        <v>38.5</v>
      </c>
      <c r="I59" s="42" t="s">
        <v>268</v>
      </c>
      <c r="J59" s="42" t="s">
        <v>232</v>
      </c>
      <c r="K59" s="42" t="s">
        <v>240</v>
      </c>
      <c r="L59" s="42" t="s">
        <v>226</v>
      </c>
      <c r="M59" s="38" t="s">
        <v>227</v>
      </c>
      <c r="N59" s="43" t="s">
        <v>343</v>
      </c>
      <c r="O59" s="31" t="n">
        <f aca="false">MIN(G59,G59*Depreciation!$C$23*F59)</f>
        <v>5041.00669078992</v>
      </c>
      <c r="P59" s="31" t="n">
        <f aca="false">G59-O59</f>
        <v>18958.9933092101</v>
      </c>
      <c r="Q59" s="22" t="n">
        <f aca="false">IFERROR(P59/Inputs!$C$8,0)</f>
        <v>0.135421380780072</v>
      </c>
      <c r="R59" s="22" t="n">
        <f aca="false">IFERROR(IF(I59="Diesel",Inputs!$C$14,Inputs!$C$13)/H59,0)</f>
        <v>0.0922077922077922</v>
      </c>
      <c r="S59" s="22" t="n">
        <f aca="false">IFERROR(IF(J59="Truck",Inputs!$C$16,Inputs!$C$15)/Inputs!$C$17,0)</f>
        <v>0.0163636363636364</v>
      </c>
      <c r="T59" s="22" t="n">
        <f aca="false">Inputs!$C$18</f>
        <v>0.08</v>
      </c>
      <c r="U59" s="22" t="n">
        <f aca="false">Inputs!$C$29</f>
        <v>0.0557142857142857</v>
      </c>
      <c r="V59" s="22" t="n">
        <f aca="false">IFERROR(Inputs!$C$19/Inputs!$C$5,0)</f>
        <v>0.0290909090909091</v>
      </c>
      <c r="W59" s="22" t="n">
        <f aca="false">IFERROR(Inputs!$C$20/Inputs!$C$5,0)</f>
        <v>0.00818181818181818</v>
      </c>
      <c r="X59" s="22" t="n">
        <f aca="false">IFERROR(G59*Inputs!$C$46/Inputs!$C$8,0)</f>
        <v>0.012</v>
      </c>
      <c r="Y59" s="22" t="n">
        <f aca="false">IFERROR((G59+O59)/2*Inputs!$C$33*Inputs!$C$9/Inputs!$C$8,0)</f>
        <v>0.0118804118280504</v>
      </c>
      <c r="Z59" s="22" t="n">
        <f aca="false">IFERROR((G59*(1-Inputs!$C$35)*Inputs!$C$36*Inputs!$C$34*Inputs!$C$9+G59*Inputs!$C$35*Inputs!$C$33*Inputs!$C$9)/Inputs!$C$8,0)</f>
        <v>0.0164072727272727</v>
      </c>
      <c r="AA59" s="22" t="n">
        <f aca="false">IF(Inputs!$C$32="Cash",Y59,Z59)</f>
        <v>0.0118804118280504</v>
      </c>
      <c r="AB59" s="44" t="n">
        <f aca="false">Q59+R59+S59+T59+U59+V59+W59+X59+AA59</f>
        <v>0.440860234166564</v>
      </c>
      <c r="AC59" s="31" t="n">
        <f aca="false">AB59*Inputs!$C$8</f>
        <v>61720.432783319</v>
      </c>
      <c r="AD59" s="31" t="n">
        <f aca="false">AB59*Inputs!$C$5</f>
        <v>24247.312879161</v>
      </c>
      <c r="AE59" s="45" t="n">
        <f aca="false">RANK(AB59,$AB$7:$AB$82,1)</f>
        <v>3</v>
      </c>
      <c r="AF59" s="41" t="n">
        <v>72.7</v>
      </c>
      <c r="AG59" s="41" t="n">
        <v>28.7</v>
      </c>
      <c r="AH59" s="46" t="n">
        <v>58.9</v>
      </c>
      <c r="AI59" s="38" t="s">
        <v>193</v>
      </c>
      <c r="AJ59" s="47" t="n">
        <f aca="false">MIN(G59,G59*Depreciation!$E$33*F59)</f>
        <v>6038.35256366491</v>
      </c>
      <c r="AK59" s="48" t="n">
        <f aca="false">IFERROR((G59-AJ59)/(2*Inputs!$C$5),0)</f>
        <v>0.163287703966683</v>
      </c>
    </row>
    <row r="60" customFormat="false" ht="25.5" hidden="false" customHeight="true" outlineLevel="0" collapsed="false">
      <c r="A60" s="35" t="s">
        <v>344</v>
      </c>
      <c r="B60" s="35" t="s">
        <v>265</v>
      </c>
      <c r="C60" s="49" t="s">
        <v>208</v>
      </c>
      <c r="D60" s="24" t="n">
        <v>0.51</v>
      </c>
      <c r="E60" s="38" t="s">
        <v>231</v>
      </c>
      <c r="F60" s="39" t="n">
        <f aca="false">(1-D60)/(1-Inputs!$C$54)</f>
        <v>0.841924398625429</v>
      </c>
      <c r="G60" s="40" t="n">
        <v>28000</v>
      </c>
      <c r="H60" s="41" t="n">
        <v>33</v>
      </c>
      <c r="I60" s="42" t="s">
        <v>268</v>
      </c>
      <c r="J60" s="42" t="s">
        <v>232</v>
      </c>
      <c r="K60" s="42" t="s">
        <v>260</v>
      </c>
      <c r="L60" s="42" t="s">
        <v>226</v>
      </c>
      <c r="M60" s="38" t="s">
        <v>227</v>
      </c>
      <c r="N60" s="43" t="s">
        <v>345</v>
      </c>
      <c r="O60" s="31" t="n">
        <f aca="false">MIN(G60,G60*Depreciation!$C$23*F60)</f>
        <v>6041.45805360218</v>
      </c>
      <c r="P60" s="31" t="n">
        <f aca="false">G60-O60</f>
        <v>21958.5419463978</v>
      </c>
      <c r="Q60" s="22" t="n">
        <f aca="false">IFERROR(P60/Inputs!$C$8,0)</f>
        <v>0.156846728188556</v>
      </c>
      <c r="R60" s="22" t="n">
        <f aca="false">IFERROR(IF(I60="Diesel",Inputs!$C$14,Inputs!$C$13)/H60,0)</f>
        <v>0.107575757575758</v>
      </c>
      <c r="S60" s="22" t="n">
        <f aca="false">IFERROR(IF(J60="Truck",Inputs!$C$16,Inputs!$C$15)/Inputs!$C$17,0)</f>
        <v>0.0163636363636364</v>
      </c>
      <c r="T60" s="22" t="n">
        <f aca="false">Inputs!$C$18</f>
        <v>0.08</v>
      </c>
      <c r="U60" s="22" t="n">
        <f aca="false">Inputs!$C$29</f>
        <v>0.0557142857142857</v>
      </c>
      <c r="V60" s="22" t="n">
        <f aca="false">IFERROR(Inputs!$C$19/Inputs!$C$5,0)</f>
        <v>0.0290909090909091</v>
      </c>
      <c r="W60" s="22" t="n">
        <f aca="false">IFERROR(Inputs!$C$20/Inputs!$C$5,0)</f>
        <v>0.00818181818181818</v>
      </c>
      <c r="X60" s="22" t="n">
        <f aca="false">IFERROR(G60*Inputs!$C$46/Inputs!$C$8,0)</f>
        <v>0.014</v>
      </c>
      <c r="Y60" s="22" t="n">
        <f aca="false">IFERROR((G60+O60)/2*Inputs!$C$33*Inputs!$C$9/Inputs!$C$8,0)</f>
        <v>0.0139260510219282</v>
      </c>
      <c r="Z60" s="22" t="n">
        <f aca="false">IFERROR((G60*(1-Inputs!$C$35)*Inputs!$C$36*Inputs!$C$34*Inputs!$C$9+G60*Inputs!$C$35*Inputs!$C$33*Inputs!$C$9)/Inputs!$C$8,0)</f>
        <v>0.0191418181818182</v>
      </c>
      <c r="AA60" s="22" t="n">
        <f aca="false">IF(Inputs!$C$32="Cash",Y60,Z60)</f>
        <v>0.0139260510219282</v>
      </c>
      <c r="AB60" s="44" t="n">
        <f aca="false">Q60+R60+S60+T60+U60+V60+W60+X60+AA60</f>
        <v>0.481699186136891</v>
      </c>
      <c r="AC60" s="31" t="n">
        <f aca="false">AB60*Inputs!$C$8</f>
        <v>67437.8860591648</v>
      </c>
      <c r="AD60" s="31" t="n">
        <f aca="false">AB60*Inputs!$C$5</f>
        <v>26493.455237529</v>
      </c>
      <c r="AE60" s="45" t="n">
        <f aca="false">RANK(AB60,$AB$7:$AB$82,1)</f>
        <v>19</v>
      </c>
      <c r="AF60" s="41" t="n">
        <v>72.7</v>
      </c>
      <c r="AG60" s="41" t="n">
        <v>55.6</v>
      </c>
      <c r="AH60" s="46" t="n">
        <v>56</v>
      </c>
      <c r="AI60" s="38" t="s">
        <v>193</v>
      </c>
      <c r="AJ60" s="47" t="n">
        <f aca="false">MIN(G60,G60*Depreciation!$E$33*F60)</f>
        <v>7236.73979502818</v>
      </c>
      <c r="AK60" s="48" t="n">
        <f aca="false">IFERROR((G60-AJ60)/(2*Inputs!$C$5),0)</f>
        <v>0.188756910954289</v>
      </c>
    </row>
    <row r="61" customFormat="false" ht="25.5" hidden="false" customHeight="true" outlineLevel="0" collapsed="false">
      <c r="A61" s="35" t="s">
        <v>346</v>
      </c>
      <c r="B61" s="35" t="s">
        <v>236</v>
      </c>
      <c r="C61" s="49" t="s">
        <v>208</v>
      </c>
      <c r="D61" s="24" t="n">
        <v>0.51</v>
      </c>
      <c r="E61" s="38" t="s">
        <v>231</v>
      </c>
      <c r="F61" s="39" t="n">
        <f aca="false">(1-D61)/(1-Inputs!$C$54)</f>
        <v>0.841924398625429</v>
      </c>
      <c r="G61" s="40" t="n">
        <v>28000</v>
      </c>
      <c r="H61" s="41" t="n">
        <v>34</v>
      </c>
      <c r="I61" s="42" t="s">
        <v>268</v>
      </c>
      <c r="J61" s="42" t="s">
        <v>232</v>
      </c>
      <c r="K61" s="42" t="s">
        <v>260</v>
      </c>
      <c r="L61" s="42" t="s">
        <v>226</v>
      </c>
      <c r="M61" s="38" t="s">
        <v>227</v>
      </c>
      <c r="N61" s="43" t="s">
        <v>347</v>
      </c>
      <c r="O61" s="31" t="n">
        <f aca="false">MIN(G61,G61*Depreciation!$C$23*F61)</f>
        <v>6041.45805360218</v>
      </c>
      <c r="P61" s="31" t="n">
        <f aca="false">G61-O61</f>
        <v>21958.5419463978</v>
      </c>
      <c r="Q61" s="22" t="n">
        <f aca="false">IFERROR(P61/Inputs!$C$8,0)</f>
        <v>0.156846728188556</v>
      </c>
      <c r="R61" s="22" t="n">
        <f aca="false">IFERROR(IF(I61="Diesel",Inputs!$C$14,Inputs!$C$13)/H61,0)</f>
        <v>0.104411764705882</v>
      </c>
      <c r="S61" s="22" t="n">
        <f aca="false">IFERROR(IF(J61="Truck",Inputs!$C$16,Inputs!$C$15)/Inputs!$C$17,0)</f>
        <v>0.0163636363636364</v>
      </c>
      <c r="T61" s="22" t="n">
        <f aca="false">Inputs!$C$18</f>
        <v>0.08</v>
      </c>
      <c r="U61" s="22" t="n">
        <f aca="false">Inputs!$C$29</f>
        <v>0.0557142857142857</v>
      </c>
      <c r="V61" s="22" t="n">
        <f aca="false">IFERROR(Inputs!$C$19/Inputs!$C$5,0)</f>
        <v>0.0290909090909091</v>
      </c>
      <c r="W61" s="22" t="n">
        <f aca="false">IFERROR(Inputs!$C$20/Inputs!$C$5,0)</f>
        <v>0.00818181818181818</v>
      </c>
      <c r="X61" s="22" t="n">
        <f aca="false">IFERROR(G61*Inputs!$C$46/Inputs!$C$8,0)</f>
        <v>0.014</v>
      </c>
      <c r="Y61" s="22" t="n">
        <f aca="false">IFERROR((G61+O61)/2*Inputs!$C$33*Inputs!$C$9/Inputs!$C$8,0)</f>
        <v>0.0139260510219282</v>
      </c>
      <c r="Z61" s="22" t="n">
        <f aca="false">IFERROR((G61*(1-Inputs!$C$35)*Inputs!$C$36*Inputs!$C$34*Inputs!$C$9+G61*Inputs!$C$35*Inputs!$C$33*Inputs!$C$9)/Inputs!$C$8,0)</f>
        <v>0.0191418181818182</v>
      </c>
      <c r="AA61" s="22" t="n">
        <f aca="false">IF(Inputs!$C$32="Cash",Y61,Z61)</f>
        <v>0.0139260510219282</v>
      </c>
      <c r="AB61" s="44" t="n">
        <f aca="false">Q61+R61+S61+T61+U61+V61+W61+X61+AA61</f>
        <v>0.478535193267016</v>
      </c>
      <c r="AC61" s="31" t="n">
        <f aca="false">AB61*Inputs!$C$8</f>
        <v>66994.9270573822</v>
      </c>
      <c r="AD61" s="31" t="n">
        <f aca="false">AB61*Inputs!$C$5</f>
        <v>26319.4356296859</v>
      </c>
      <c r="AE61" s="45" t="n">
        <f aca="false">RANK(AB61,$AB$7:$AB$82,1)</f>
        <v>18</v>
      </c>
      <c r="AF61" s="41" t="n">
        <v>74.2</v>
      </c>
      <c r="AG61" s="41" t="n">
        <v>71.3</v>
      </c>
      <c r="AH61" s="46" t="n">
        <v>54.3</v>
      </c>
      <c r="AI61" s="38" t="s">
        <v>193</v>
      </c>
      <c r="AJ61" s="47" t="n">
        <f aca="false">MIN(G61,G61*Depreciation!$E$33*F61)</f>
        <v>7236.73979502818</v>
      </c>
      <c r="AK61" s="48" t="n">
        <f aca="false">IFERROR((G61-AJ61)/(2*Inputs!$C$5),0)</f>
        <v>0.188756910954289</v>
      </c>
    </row>
    <row r="62" customFormat="false" ht="25.5" hidden="false" customHeight="true" outlineLevel="0" collapsed="false">
      <c r="A62" s="35" t="s">
        <v>348</v>
      </c>
      <c r="B62" s="35" t="s">
        <v>349</v>
      </c>
      <c r="C62" s="37" t="s">
        <v>185</v>
      </c>
      <c r="D62" s="24" t="n">
        <v>0.38</v>
      </c>
      <c r="E62" s="38" t="s">
        <v>225</v>
      </c>
      <c r="F62" s="39" t="n">
        <f aca="false">(1-D62)/(1-Inputs!$C$54)</f>
        <v>1.06529209621993</v>
      </c>
      <c r="G62" s="40" t="n">
        <v>38000</v>
      </c>
      <c r="H62" s="41" t="n">
        <v>35.5</v>
      </c>
      <c r="I62" s="42" t="s">
        <v>268</v>
      </c>
      <c r="J62" s="42" t="s">
        <v>232</v>
      </c>
      <c r="K62" s="42" t="s">
        <v>260</v>
      </c>
      <c r="L62" s="42" t="s">
        <v>350</v>
      </c>
      <c r="M62" s="38" t="s">
        <v>210</v>
      </c>
      <c r="N62" s="43" t="s">
        <v>351</v>
      </c>
      <c r="O62" s="31" t="n">
        <f aca="false">MIN(G62,G62*Depreciation!$C$23*F62)</f>
        <v>10374.3988150778</v>
      </c>
      <c r="P62" s="31" t="n">
        <f aca="false">G62-O62</f>
        <v>27625.6011849222</v>
      </c>
      <c r="Q62" s="22" t="n">
        <f aca="false">IFERROR(P62/Inputs!$C$8,0)</f>
        <v>0.197325722749444</v>
      </c>
      <c r="R62" s="22" t="n">
        <f aca="false">IFERROR(IF(I62="Diesel",Inputs!$C$14,Inputs!$C$13)/H62,0)</f>
        <v>0.1</v>
      </c>
      <c r="S62" s="22" t="n">
        <f aca="false">IFERROR(IF(J62="Truck",Inputs!$C$16,Inputs!$C$15)/Inputs!$C$17,0)</f>
        <v>0.0163636363636364</v>
      </c>
      <c r="T62" s="22" t="n">
        <f aca="false">Inputs!$C$18</f>
        <v>0.08</v>
      </c>
      <c r="U62" s="22" t="n">
        <f aca="false">Inputs!$C$29</f>
        <v>0.0557142857142857</v>
      </c>
      <c r="V62" s="22" t="n">
        <f aca="false">IFERROR(Inputs!$C$19/Inputs!$C$5,0)</f>
        <v>0.0290909090909091</v>
      </c>
      <c r="W62" s="22" t="n">
        <f aca="false">IFERROR(Inputs!$C$20/Inputs!$C$5,0)</f>
        <v>0.00818181818181818</v>
      </c>
      <c r="X62" s="22" t="n">
        <f aca="false">IFERROR(G62*Inputs!$C$46/Inputs!$C$8,0)</f>
        <v>0.019</v>
      </c>
      <c r="Y62" s="22" t="n">
        <f aca="false">IFERROR((G62+O62)/2*Inputs!$C$33*Inputs!$C$9/Inputs!$C$8,0)</f>
        <v>0.0197895267879864</v>
      </c>
      <c r="Z62" s="22" t="n">
        <f aca="false">IFERROR((G62*(1-Inputs!$C$35)*Inputs!$C$36*Inputs!$C$34*Inputs!$C$9+G62*Inputs!$C$35*Inputs!$C$33*Inputs!$C$9)/Inputs!$C$8,0)</f>
        <v>0.0259781818181818</v>
      </c>
      <c r="AA62" s="22" t="n">
        <f aca="false">IF(Inputs!$C$32="Cash",Y62,Z62)</f>
        <v>0.0197895267879864</v>
      </c>
      <c r="AB62" s="44" t="n">
        <f aca="false">Q62+R62+S62+T62+U62+V62+W62+X62+AA62</f>
        <v>0.52546589888808</v>
      </c>
      <c r="AC62" s="31" t="n">
        <f aca="false">AB62*Inputs!$C$8</f>
        <v>73565.2258443312</v>
      </c>
      <c r="AD62" s="31" t="n">
        <f aca="false">AB62*Inputs!$C$5</f>
        <v>28900.6244388444</v>
      </c>
      <c r="AE62" s="45" t="n">
        <f aca="false">RANK(AB62,$AB$7:$AB$82,1)</f>
        <v>30</v>
      </c>
      <c r="AF62" s="41" t="n">
        <v>100</v>
      </c>
      <c r="AG62" s="41" t="n">
        <v>52.8</v>
      </c>
      <c r="AH62" s="46" t="n">
        <v>56.3</v>
      </c>
      <c r="AI62" s="38" t="s">
        <v>193</v>
      </c>
      <c r="AJ62" s="47" t="n">
        <f aca="false">MIN(G62,G62*Depreciation!$E$33*F62)</f>
        <v>12426.9380153691</v>
      </c>
      <c r="AK62" s="48" t="n">
        <f aca="false">IFERROR((G62-AJ62)/(2*Inputs!$C$5),0)</f>
        <v>0.232482381678463</v>
      </c>
    </row>
    <row r="63" customFormat="false" ht="25.5" hidden="false" customHeight="true" outlineLevel="0" collapsed="false">
      <c r="A63" s="35" t="s">
        <v>352</v>
      </c>
      <c r="B63" s="35" t="s">
        <v>265</v>
      </c>
      <c r="C63" s="49" t="s">
        <v>208</v>
      </c>
      <c r="D63" s="24" t="n">
        <v>0.38</v>
      </c>
      <c r="E63" s="38" t="s">
        <v>225</v>
      </c>
      <c r="F63" s="39" t="n">
        <f aca="false">(1-D63)/(1-Inputs!$C$54)</f>
        <v>1.06529209621993</v>
      </c>
      <c r="G63" s="40" t="n">
        <v>45000</v>
      </c>
      <c r="H63" s="41" t="n">
        <v>37</v>
      </c>
      <c r="I63" s="42" t="s">
        <v>268</v>
      </c>
      <c r="J63" s="42" t="s">
        <v>232</v>
      </c>
      <c r="K63" s="42" t="s">
        <v>240</v>
      </c>
      <c r="L63" s="42" t="s">
        <v>226</v>
      </c>
      <c r="M63" s="38" t="s">
        <v>227</v>
      </c>
      <c r="N63" s="43" t="s">
        <v>353</v>
      </c>
      <c r="O63" s="31" t="n">
        <f aca="false">MIN(G63,G63*Depreciation!$C$23*F63)</f>
        <v>12285.4722810132</v>
      </c>
      <c r="P63" s="31" t="n">
        <f aca="false">G63-O63</f>
        <v>32714.5277189868</v>
      </c>
      <c r="Q63" s="22" t="n">
        <f aca="false">IFERROR(P63/Inputs!$C$8,0)</f>
        <v>0.233675197992763</v>
      </c>
      <c r="R63" s="22" t="n">
        <f aca="false">IFERROR(IF(I63="Diesel",Inputs!$C$14,Inputs!$C$13)/H63,0)</f>
        <v>0.0959459459459459</v>
      </c>
      <c r="S63" s="22" t="n">
        <f aca="false">IFERROR(IF(J63="Truck",Inputs!$C$16,Inputs!$C$15)/Inputs!$C$17,0)</f>
        <v>0.0163636363636364</v>
      </c>
      <c r="T63" s="22" t="n">
        <f aca="false">Inputs!$C$18</f>
        <v>0.08</v>
      </c>
      <c r="U63" s="22" t="n">
        <f aca="false">Inputs!$C$29</f>
        <v>0.0557142857142857</v>
      </c>
      <c r="V63" s="22" t="n">
        <f aca="false">IFERROR(Inputs!$C$19/Inputs!$C$5,0)</f>
        <v>0.0290909090909091</v>
      </c>
      <c r="W63" s="22" t="n">
        <f aca="false">IFERROR(Inputs!$C$20/Inputs!$C$5,0)</f>
        <v>0.00818181818181818</v>
      </c>
      <c r="X63" s="22" t="n">
        <f aca="false">IFERROR(G63*Inputs!$C$46/Inputs!$C$8,0)</f>
        <v>0.0225</v>
      </c>
      <c r="Y63" s="22" t="n">
        <f aca="false">IFERROR((G63+O63)/2*Inputs!$C$33*Inputs!$C$9/Inputs!$C$8,0)</f>
        <v>0.0234349659331418</v>
      </c>
      <c r="Z63" s="22" t="n">
        <f aca="false">IFERROR((G63*(1-Inputs!$C$35)*Inputs!$C$36*Inputs!$C$34*Inputs!$C$9+G63*Inputs!$C$35*Inputs!$C$33*Inputs!$C$9)/Inputs!$C$8,0)</f>
        <v>0.0307636363636364</v>
      </c>
      <c r="AA63" s="22" t="n">
        <f aca="false">IF(Inputs!$C$32="Cash",Y63,Z63)</f>
        <v>0.0234349659331418</v>
      </c>
      <c r="AB63" s="44" t="n">
        <f aca="false">Q63+R63+S63+T63+U63+V63+W63+X63+AA63</f>
        <v>0.5649067592225</v>
      </c>
      <c r="AC63" s="31" t="n">
        <f aca="false">AB63*Inputs!$C$8</f>
        <v>79086.94629115</v>
      </c>
      <c r="AD63" s="31" t="n">
        <f aca="false">AB63*Inputs!$C$5</f>
        <v>31069.8717572375</v>
      </c>
      <c r="AE63" s="45" t="n">
        <f aca="false">RANK(AB63,$AB$7:$AB$82,1)</f>
        <v>46</v>
      </c>
      <c r="AF63" s="41" t="n">
        <v>100</v>
      </c>
      <c r="AG63" s="41" t="n">
        <v>71.3</v>
      </c>
      <c r="AH63" s="46" t="n">
        <v>54.3</v>
      </c>
      <c r="AI63" s="38" t="s">
        <v>193</v>
      </c>
      <c r="AJ63" s="47" t="n">
        <f aca="false">MIN(G63,G63*Depreciation!$E$33*F63)</f>
        <v>14716.1108076739</v>
      </c>
      <c r="AK63" s="48" t="n">
        <f aca="false">IFERROR((G63-AJ63)/(2*Inputs!$C$5),0)</f>
        <v>0.275308083566601</v>
      </c>
    </row>
    <row r="64" customFormat="false" ht="25.5" hidden="false" customHeight="true" outlineLevel="0" collapsed="false">
      <c r="A64" s="35" t="s">
        <v>354</v>
      </c>
      <c r="B64" s="35" t="s">
        <v>245</v>
      </c>
      <c r="C64" s="37" t="s">
        <v>185</v>
      </c>
      <c r="D64" s="24" t="n">
        <v>0.26</v>
      </c>
      <c r="E64" s="38" t="s">
        <v>186</v>
      </c>
      <c r="F64" s="39" t="n">
        <f aca="false">(1-D64)/(1-Inputs!$C$54)</f>
        <v>1.27147766323024</v>
      </c>
      <c r="G64" s="40" t="n">
        <v>34000</v>
      </c>
      <c r="H64" s="41" t="n">
        <v>21</v>
      </c>
      <c r="I64" s="42" t="s">
        <v>187</v>
      </c>
      <c r="J64" s="42" t="s">
        <v>188</v>
      </c>
      <c r="K64" s="42" t="s">
        <v>355</v>
      </c>
      <c r="L64" s="42" t="s">
        <v>356</v>
      </c>
      <c r="M64" s="38" t="s">
        <v>210</v>
      </c>
      <c r="N64" s="43" t="s">
        <v>357</v>
      </c>
      <c r="O64" s="31" t="n">
        <f aca="false">MIN(G64,G64*Depreciation!$C$23*F64)</f>
        <v>11078.9420283259</v>
      </c>
      <c r="P64" s="31" t="n">
        <f aca="false">G64-O64</f>
        <v>22921.0579716741</v>
      </c>
      <c r="Q64" s="22" t="n">
        <f aca="false">IFERROR(P64/Inputs!$C$8,0)</f>
        <v>0.163721842654815</v>
      </c>
      <c r="R64" s="22" t="n">
        <f aca="false">IFERROR(IF(I64="Diesel",Inputs!$C$14,Inputs!$C$13)/H64,0)</f>
        <v>0.169047619047619</v>
      </c>
      <c r="S64" s="22" t="n">
        <f aca="false">IFERROR(IF(J64="Truck",Inputs!$C$16,Inputs!$C$15)/Inputs!$C$17,0)</f>
        <v>0.0236363636363636</v>
      </c>
      <c r="T64" s="22" t="n">
        <f aca="false">Inputs!$C$18</f>
        <v>0.08</v>
      </c>
      <c r="U64" s="22" t="n">
        <f aca="false">Inputs!$C$29</f>
        <v>0.0557142857142857</v>
      </c>
      <c r="V64" s="22" t="n">
        <f aca="false">IFERROR(Inputs!$C$19/Inputs!$C$5,0)</f>
        <v>0.0290909090909091</v>
      </c>
      <c r="W64" s="22" t="n">
        <f aca="false">IFERROR(Inputs!$C$20/Inputs!$C$5,0)</f>
        <v>0.00818181818181818</v>
      </c>
      <c r="X64" s="22" t="n">
        <f aca="false">IFERROR(G64*Inputs!$C$46/Inputs!$C$8,0)</f>
        <v>0.017</v>
      </c>
      <c r="Y64" s="22" t="n">
        <f aca="false">IFERROR((G64+O64)/2*Inputs!$C$33*Inputs!$C$9/Inputs!$C$8,0)</f>
        <v>0.0184413853752242</v>
      </c>
      <c r="Z64" s="22" t="n">
        <f aca="false">IFERROR((G64*(1-Inputs!$C$35)*Inputs!$C$36*Inputs!$C$34*Inputs!$C$9+G64*Inputs!$C$35*Inputs!$C$33*Inputs!$C$9)/Inputs!$C$8,0)</f>
        <v>0.0232436363636364</v>
      </c>
      <c r="AA64" s="22" t="n">
        <f aca="false">IF(Inputs!$C$32="Cash",Y64,Z64)</f>
        <v>0.0184413853752242</v>
      </c>
      <c r="AB64" s="44" t="n">
        <f aca="false">Q64+R64+S64+T64+U64+V64+W64+X64+AA64</f>
        <v>0.564834223701035</v>
      </c>
      <c r="AC64" s="31" t="n">
        <f aca="false">AB64*Inputs!$C$8</f>
        <v>79076.7913181449</v>
      </c>
      <c r="AD64" s="31" t="n">
        <f aca="false">AB64*Inputs!$C$5</f>
        <v>31065.8823035569</v>
      </c>
      <c r="AE64" s="45" t="n">
        <f aca="false">RANK(AB64,$AB$7:$AB$82,1)</f>
        <v>45</v>
      </c>
      <c r="AF64" s="41" t="n">
        <v>100</v>
      </c>
      <c r="AG64" s="41" t="n">
        <v>22.1</v>
      </c>
      <c r="AH64" s="46" t="n">
        <v>58.1</v>
      </c>
      <c r="AI64" s="38" t="s">
        <v>193</v>
      </c>
      <c r="AJ64" s="47" t="n">
        <f aca="false">MIN(G64,G64*Depreciation!$E$33*F64)</f>
        <v>13270.8726853432</v>
      </c>
      <c r="AK64" s="48" t="n">
        <f aca="false">IFERROR((G64-AJ64)/(2*Inputs!$C$5),0)</f>
        <v>0.188446611951425</v>
      </c>
    </row>
    <row r="65" customFormat="false" ht="25.5" hidden="false" customHeight="true" outlineLevel="0" collapsed="false">
      <c r="A65" s="35" t="s">
        <v>358</v>
      </c>
      <c r="B65" s="35" t="s">
        <v>245</v>
      </c>
      <c r="C65" s="50" t="s">
        <v>220</v>
      </c>
      <c r="D65" s="24" t="n">
        <v>0.26</v>
      </c>
      <c r="E65" s="38" t="s">
        <v>225</v>
      </c>
      <c r="F65" s="39" t="n">
        <f aca="false">(1-D65)/(1-Inputs!$C$54)</f>
        <v>1.27147766323024</v>
      </c>
      <c r="G65" s="40" t="n">
        <v>45000</v>
      </c>
      <c r="H65" s="41" t="n">
        <v>23</v>
      </c>
      <c r="I65" s="42" t="s">
        <v>268</v>
      </c>
      <c r="J65" s="42" t="s">
        <v>188</v>
      </c>
      <c r="K65" s="42" t="s">
        <v>189</v>
      </c>
      <c r="L65" s="42" t="s">
        <v>226</v>
      </c>
      <c r="M65" s="38" t="s">
        <v>227</v>
      </c>
      <c r="N65" s="43" t="s">
        <v>359</v>
      </c>
      <c r="O65" s="31" t="n">
        <f aca="false">MIN(G65,G65*Depreciation!$C$23*F65)</f>
        <v>14663.3056257254</v>
      </c>
      <c r="P65" s="31" t="n">
        <f aca="false">G65-O65</f>
        <v>30336.6943742746</v>
      </c>
      <c r="Q65" s="22" t="n">
        <f aca="false">IFERROR(P65/Inputs!$C$8,0)</f>
        <v>0.216690674101961</v>
      </c>
      <c r="R65" s="22" t="n">
        <f aca="false">IFERROR(IF(I65="Diesel",Inputs!$C$14,Inputs!$C$13)/H65,0)</f>
        <v>0.154347826086957</v>
      </c>
      <c r="S65" s="22" t="n">
        <f aca="false">IFERROR(IF(J65="Truck",Inputs!$C$16,Inputs!$C$15)/Inputs!$C$17,0)</f>
        <v>0.0236363636363636</v>
      </c>
      <c r="T65" s="22" t="n">
        <f aca="false">Inputs!$C$18</f>
        <v>0.08</v>
      </c>
      <c r="U65" s="22" t="n">
        <f aca="false">Inputs!$C$29</f>
        <v>0.0557142857142857</v>
      </c>
      <c r="V65" s="22" t="n">
        <f aca="false">IFERROR(Inputs!$C$19/Inputs!$C$5,0)</f>
        <v>0.0290909090909091</v>
      </c>
      <c r="W65" s="22" t="n">
        <f aca="false">IFERROR(Inputs!$C$20/Inputs!$C$5,0)</f>
        <v>0.00818181818181818</v>
      </c>
      <c r="X65" s="22" t="n">
        <f aca="false">IFERROR(G65*Inputs!$C$46/Inputs!$C$8,0)</f>
        <v>0.0225</v>
      </c>
      <c r="Y65" s="22" t="n">
        <f aca="false">IFERROR((G65+O65)/2*Inputs!$C$33*Inputs!$C$9/Inputs!$C$8,0)</f>
        <v>0.0244077159377968</v>
      </c>
      <c r="Z65" s="22" t="n">
        <f aca="false">IFERROR((G65*(1-Inputs!$C$35)*Inputs!$C$36*Inputs!$C$34*Inputs!$C$9+G65*Inputs!$C$35*Inputs!$C$33*Inputs!$C$9)/Inputs!$C$8,0)</f>
        <v>0.0307636363636364</v>
      </c>
      <c r="AA65" s="22" t="n">
        <f aca="false">IF(Inputs!$C$32="Cash",Y65,Z65)</f>
        <v>0.0244077159377968</v>
      </c>
      <c r="AB65" s="44" t="n">
        <f aca="false">Q65+R65+S65+T65+U65+V65+W65+X65+AA65</f>
        <v>0.614569592750091</v>
      </c>
      <c r="AC65" s="31" t="n">
        <f aca="false">AB65*Inputs!$C$8</f>
        <v>86039.7429850128</v>
      </c>
      <c r="AD65" s="31" t="n">
        <f aca="false">AB65*Inputs!$C$5</f>
        <v>33801.327601255</v>
      </c>
      <c r="AE65" s="45" t="n">
        <f aca="false">RANK(AB65,$AB$7:$AB$82,1)</f>
        <v>63</v>
      </c>
      <c r="AF65" s="41" t="n">
        <v>85</v>
      </c>
      <c r="AG65" s="41" t="n">
        <v>24.1</v>
      </c>
      <c r="AH65" s="46" t="n">
        <v>58.1</v>
      </c>
      <c r="AI65" s="38" t="s">
        <v>193</v>
      </c>
      <c r="AJ65" s="47" t="n">
        <f aca="false">MIN(G65,G65*Depreciation!$E$33*F65)</f>
        <v>17564.3903188366</v>
      </c>
      <c r="AK65" s="48" t="n">
        <f aca="false">IFERROR((G65-AJ65)/(2*Inputs!$C$5),0)</f>
        <v>0.249414633465122</v>
      </c>
    </row>
    <row r="66" customFormat="false" ht="25.5" hidden="false" customHeight="true" outlineLevel="0" collapsed="false">
      <c r="A66" s="35" t="s">
        <v>360</v>
      </c>
      <c r="B66" s="35" t="s">
        <v>361</v>
      </c>
      <c r="C66" s="37" t="s">
        <v>185</v>
      </c>
      <c r="D66" s="24" t="n">
        <v>0.255</v>
      </c>
      <c r="E66" s="38" t="s">
        <v>186</v>
      </c>
      <c r="F66" s="39" t="n">
        <f aca="false">(1-D66)/(1-Inputs!$C$54)</f>
        <v>1.28006872852234</v>
      </c>
      <c r="G66" s="40" t="n">
        <v>38000</v>
      </c>
      <c r="H66" s="41" t="n">
        <v>19</v>
      </c>
      <c r="I66" s="42" t="s">
        <v>187</v>
      </c>
      <c r="J66" s="42" t="s">
        <v>188</v>
      </c>
      <c r="K66" s="42" t="s">
        <v>362</v>
      </c>
      <c r="L66" s="42" t="s">
        <v>363</v>
      </c>
      <c r="M66" s="38" t="s">
        <v>191</v>
      </c>
      <c r="N66" s="43" t="s">
        <v>364</v>
      </c>
      <c r="O66" s="31" t="n">
        <f aca="false">MIN(G66,G66*Depreciation!$C$23*F66)</f>
        <v>12466.011479408</v>
      </c>
      <c r="P66" s="31" t="n">
        <f aca="false">G66-O66</f>
        <v>25533.988520592</v>
      </c>
      <c r="Q66" s="22" t="n">
        <f aca="false">IFERROR(P66/Inputs!$C$8,0)</f>
        <v>0.182385632289943</v>
      </c>
      <c r="R66" s="22" t="n">
        <f aca="false">IFERROR(IF(I66="Diesel",Inputs!$C$14,Inputs!$C$13)/H66,0)</f>
        <v>0.186842105263158</v>
      </c>
      <c r="S66" s="22" t="n">
        <f aca="false">IFERROR(IF(J66="Truck",Inputs!$C$16,Inputs!$C$15)/Inputs!$C$17,0)</f>
        <v>0.0236363636363636</v>
      </c>
      <c r="T66" s="22" t="n">
        <f aca="false">Inputs!$C$18</f>
        <v>0.08</v>
      </c>
      <c r="U66" s="22" t="n">
        <f aca="false">Inputs!$C$29</f>
        <v>0.0557142857142857</v>
      </c>
      <c r="V66" s="22" t="n">
        <f aca="false">IFERROR(Inputs!$C$19/Inputs!$C$5,0)</f>
        <v>0.0290909090909091</v>
      </c>
      <c r="W66" s="22" t="n">
        <f aca="false">IFERROR(Inputs!$C$20/Inputs!$C$5,0)</f>
        <v>0.00818181818181818</v>
      </c>
      <c r="X66" s="22" t="n">
        <f aca="false">IFERROR(G66*Inputs!$C$46/Inputs!$C$8,0)</f>
        <v>0.019</v>
      </c>
      <c r="Y66" s="22" t="n">
        <f aca="false">IFERROR((G66+O66)/2*Inputs!$C$33*Inputs!$C$9/Inputs!$C$8,0)</f>
        <v>0.0206451865143033</v>
      </c>
      <c r="Z66" s="22" t="n">
        <f aca="false">IFERROR((G66*(1-Inputs!$C$35)*Inputs!$C$36*Inputs!$C$34*Inputs!$C$9+G66*Inputs!$C$35*Inputs!$C$33*Inputs!$C$9)/Inputs!$C$8,0)</f>
        <v>0.0259781818181818</v>
      </c>
      <c r="AA66" s="22" t="n">
        <f aca="false">IF(Inputs!$C$32="Cash",Y66,Z66)</f>
        <v>0.0206451865143033</v>
      </c>
      <c r="AB66" s="44" t="n">
        <f aca="false">Q66+R66+S66+T66+U66+V66+W66+X66+AA66</f>
        <v>0.605496300690781</v>
      </c>
      <c r="AC66" s="31" t="n">
        <f aca="false">AB66*Inputs!$C$8</f>
        <v>84769.4820967093</v>
      </c>
      <c r="AD66" s="31" t="n">
        <f aca="false">AB66*Inputs!$C$5</f>
        <v>33302.2965379929</v>
      </c>
      <c r="AE66" s="45" t="n">
        <f aca="false">RANK(AB66,$AB$7:$AB$82,1)</f>
        <v>60</v>
      </c>
      <c r="AF66" s="41" t="n">
        <v>100</v>
      </c>
      <c r="AG66" s="41" t="n">
        <v>34.4</v>
      </c>
      <c r="AH66" s="46" t="n">
        <v>57.1</v>
      </c>
      <c r="AI66" s="38" t="s">
        <v>193</v>
      </c>
      <c r="AJ66" s="47" t="n">
        <f aca="false">MIN(G66,G66*Depreciation!$E$33*F66)</f>
        <v>14932.3690668548</v>
      </c>
      <c r="AK66" s="48" t="n">
        <f aca="false">IFERROR((G66-AJ66)/(2*Inputs!$C$5),0)</f>
        <v>0.209705735755866</v>
      </c>
    </row>
    <row r="67" customFormat="false" ht="25.5" hidden="false" customHeight="true" outlineLevel="0" collapsed="false">
      <c r="A67" s="35" t="s">
        <v>365</v>
      </c>
      <c r="B67" s="35" t="s">
        <v>366</v>
      </c>
      <c r="C67" s="37" t="s">
        <v>185</v>
      </c>
      <c r="D67" s="24" t="n">
        <v>0.291</v>
      </c>
      <c r="E67" s="38" t="s">
        <v>186</v>
      </c>
      <c r="F67" s="39" t="n">
        <f aca="false">(1-D67)/(1-Inputs!$C$54)</f>
        <v>1.21821305841924</v>
      </c>
      <c r="G67" s="40" t="n">
        <v>42000</v>
      </c>
      <c r="H67" s="41" t="n">
        <v>17.5</v>
      </c>
      <c r="I67" s="42" t="s">
        <v>187</v>
      </c>
      <c r="J67" s="42" t="s">
        <v>188</v>
      </c>
      <c r="K67" s="42" t="s">
        <v>189</v>
      </c>
      <c r="L67" s="42" t="s">
        <v>367</v>
      </c>
      <c r="M67" s="38" t="s">
        <v>191</v>
      </c>
      <c r="N67" s="43" t="s">
        <v>368</v>
      </c>
      <c r="O67" s="31" t="n">
        <f aca="false">MIN(G67,G67*Depreciation!$C$23*F67)</f>
        <v>13112.4298775631</v>
      </c>
      <c r="P67" s="31" t="n">
        <f aca="false">G67-O67</f>
        <v>28887.5701224369</v>
      </c>
      <c r="Q67" s="22" t="n">
        <f aca="false">IFERROR(P67/Inputs!$C$8,0)</f>
        <v>0.206339786588835</v>
      </c>
      <c r="R67" s="22" t="n">
        <f aca="false">IFERROR(IF(I67="Diesel",Inputs!$C$14,Inputs!$C$13)/H67,0)</f>
        <v>0.202857142857143</v>
      </c>
      <c r="S67" s="22" t="n">
        <f aca="false">IFERROR(IF(J67="Truck",Inputs!$C$16,Inputs!$C$15)/Inputs!$C$17,0)</f>
        <v>0.0236363636363636</v>
      </c>
      <c r="T67" s="22" t="n">
        <f aca="false">Inputs!$C$18</f>
        <v>0.08</v>
      </c>
      <c r="U67" s="22" t="n">
        <f aca="false">Inputs!$C$29</f>
        <v>0.0557142857142857</v>
      </c>
      <c r="V67" s="22" t="n">
        <f aca="false">IFERROR(Inputs!$C$19/Inputs!$C$5,0)</f>
        <v>0.0290909090909091</v>
      </c>
      <c r="W67" s="22" t="n">
        <f aca="false">IFERROR(Inputs!$C$20/Inputs!$C$5,0)</f>
        <v>0.00818181818181818</v>
      </c>
      <c r="X67" s="22" t="n">
        <f aca="false">IFERROR(G67*Inputs!$C$46/Inputs!$C$8,0)</f>
        <v>0.021</v>
      </c>
      <c r="Y67" s="22" t="n">
        <f aca="false">IFERROR((G67+O67)/2*Inputs!$C$33*Inputs!$C$9/Inputs!$C$8,0)</f>
        <v>0.0225459940408213</v>
      </c>
      <c r="Z67" s="22" t="n">
        <f aca="false">IFERROR((G67*(1-Inputs!$C$35)*Inputs!$C$36*Inputs!$C$34*Inputs!$C$9+G67*Inputs!$C$35*Inputs!$C$33*Inputs!$C$9)/Inputs!$C$8,0)</f>
        <v>0.0287127272727273</v>
      </c>
      <c r="AA67" s="22" t="n">
        <f aca="false">IF(Inputs!$C$32="Cash",Y67,Z67)</f>
        <v>0.0225459940408213</v>
      </c>
      <c r="AB67" s="44" t="n">
        <f aca="false">Q67+R67+S67+T67+U67+V67+W67+X67+AA67</f>
        <v>0.649366300110176</v>
      </c>
      <c r="AC67" s="31" t="n">
        <f aca="false">AB67*Inputs!$C$8</f>
        <v>90911.2820154246</v>
      </c>
      <c r="AD67" s="31" t="n">
        <f aca="false">AB67*Inputs!$C$5</f>
        <v>35715.1465060597</v>
      </c>
      <c r="AE67" s="45" t="n">
        <f aca="false">RANK(AB67,$AB$7:$AB$82,1)</f>
        <v>65</v>
      </c>
      <c r="AF67" s="41" t="n">
        <v>100</v>
      </c>
      <c r="AG67" s="41" t="n">
        <v>53.3</v>
      </c>
      <c r="AH67" s="46" t="n">
        <v>55.6</v>
      </c>
      <c r="AI67" s="38" t="s">
        <v>193</v>
      </c>
      <c r="AJ67" s="47" t="n">
        <f aca="false">MIN(G67,G67*Depreciation!$E$33*F67)</f>
        <v>15706.6791265561</v>
      </c>
      <c r="AK67" s="48" t="n">
        <f aca="false">IFERROR((G67-AJ67)/(2*Inputs!$C$5),0)</f>
        <v>0.239030189758581</v>
      </c>
    </row>
    <row r="68" customFormat="false" ht="25.5" hidden="false" customHeight="true" outlineLevel="0" collapsed="false">
      <c r="A68" s="35" t="s">
        <v>369</v>
      </c>
      <c r="B68" s="35" t="s">
        <v>366</v>
      </c>
      <c r="C68" s="37" t="s">
        <v>185</v>
      </c>
      <c r="D68" s="24" t="n">
        <v>0.415</v>
      </c>
      <c r="E68" s="38" t="s">
        <v>198</v>
      </c>
      <c r="F68" s="39" t="n">
        <f aca="false">(1-D68)/(1-Inputs!$C$54)</f>
        <v>1.00515463917526</v>
      </c>
      <c r="G68" s="40" t="n">
        <v>33000</v>
      </c>
      <c r="H68" s="41" t="n">
        <v>19</v>
      </c>
      <c r="I68" s="42" t="s">
        <v>187</v>
      </c>
      <c r="J68" s="42" t="s">
        <v>188</v>
      </c>
      <c r="K68" s="42" t="s">
        <v>189</v>
      </c>
      <c r="L68" s="42" t="s">
        <v>274</v>
      </c>
      <c r="M68" s="38" t="s">
        <v>210</v>
      </c>
      <c r="N68" s="43" t="s">
        <v>370</v>
      </c>
      <c r="O68" s="31" t="n">
        <f aca="false">MIN(G68,G68*Depreciation!$C$23*F68)</f>
        <v>8500.75420734621</v>
      </c>
      <c r="P68" s="31" t="n">
        <f aca="false">G68-O68</f>
        <v>24499.2457926538</v>
      </c>
      <c r="Q68" s="22" t="n">
        <f aca="false">IFERROR(P68/Inputs!$C$8,0)</f>
        <v>0.17499461280467</v>
      </c>
      <c r="R68" s="22" t="n">
        <f aca="false">IFERROR(IF(I68="Diesel",Inputs!$C$14,Inputs!$C$13)/H68,0)</f>
        <v>0.186842105263158</v>
      </c>
      <c r="S68" s="22" t="n">
        <f aca="false">IFERROR(IF(J68="Truck",Inputs!$C$16,Inputs!$C$15)/Inputs!$C$17,0)</f>
        <v>0.0236363636363636</v>
      </c>
      <c r="T68" s="22" t="n">
        <f aca="false">Inputs!$C$18</f>
        <v>0.08</v>
      </c>
      <c r="U68" s="22" t="n">
        <f aca="false">Inputs!$C$29</f>
        <v>0.0557142857142857</v>
      </c>
      <c r="V68" s="22" t="n">
        <f aca="false">IFERROR(Inputs!$C$19/Inputs!$C$5,0)</f>
        <v>0.0290909090909091</v>
      </c>
      <c r="W68" s="22" t="n">
        <f aca="false">IFERROR(Inputs!$C$20/Inputs!$C$5,0)</f>
        <v>0.00818181818181818</v>
      </c>
      <c r="X68" s="22" t="n">
        <f aca="false">IFERROR(G68*Inputs!$C$46/Inputs!$C$8,0)</f>
        <v>0.0165</v>
      </c>
      <c r="Y68" s="22" t="n">
        <f aca="false">IFERROR((G68+O68)/2*Inputs!$C$33*Inputs!$C$9/Inputs!$C$8,0)</f>
        <v>0.0169775812666416</v>
      </c>
      <c r="Z68" s="22" t="n">
        <f aca="false">IFERROR((G68*(1-Inputs!$C$35)*Inputs!$C$36*Inputs!$C$34*Inputs!$C$9+G68*Inputs!$C$35*Inputs!$C$33*Inputs!$C$9)/Inputs!$C$8,0)</f>
        <v>0.02256</v>
      </c>
      <c r="AA68" s="22" t="n">
        <f aca="false">IF(Inputs!$C$32="Cash",Y68,Z68)</f>
        <v>0.0169775812666416</v>
      </c>
      <c r="AB68" s="44" t="n">
        <f aca="false">Q68+R68+S68+T68+U68+V68+W68+X68+AA68</f>
        <v>0.591937675957846</v>
      </c>
      <c r="AC68" s="31" t="n">
        <f aca="false">AB68*Inputs!$C$8</f>
        <v>82871.2746340984</v>
      </c>
      <c r="AD68" s="31" t="n">
        <f aca="false">AB68*Inputs!$C$5</f>
        <v>32556.5721776815</v>
      </c>
      <c r="AE68" s="45" t="n">
        <f aca="false">RANK(AB68,$AB$7:$AB$82,1)</f>
        <v>53</v>
      </c>
      <c r="AF68" s="41" t="n">
        <v>45.6</v>
      </c>
      <c r="AG68" s="41" t="n">
        <v>43.1</v>
      </c>
      <c r="AH68" s="46" t="n">
        <v>56.7</v>
      </c>
      <c r="AI68" s="38" t="s">
        <v>193</v>
      </c>
      <c r="AJ68" s="47" t="n">
        <f aca="false">MIN(G68,G68*Depreciation!$E$33*F68)</f>
        <v>10182.5992524066</v>
      </c>
      <c r="AK68" s="48" t="n">
        <f aca="false">IFERROR((G68-AJ68)/(2*Inputs!$C$5),0)</f>
        <v>0.207430915887212</v>
      </c>
    </row>
    <row r="69" customFormat="false" ht="25.5" hidden="false" customHeight="true" outlineLevel="0" collapsed="false">
      <c r="A69" s="35" t="s">
        <v>371</v>
      </c>
      <c r="B69" s="35" t="s">
        <v>366</v>
      </c>
      <c r="C69" s="37" t="s">
        <v>185</v>
      </c>
      <c r="D69" s="24" t="n">
        <v>0.416</v>
      </c>
      <c r="E69" s="38" t="s">
        <v>198</v>
      </c>
      <c r="F69" s="39" t="n">
        <f aca="false">(1-D69)/(1-Inputs!$C$54)</f>
        <v>1.00343642611684</v>
      </c>
      <c r="G69" s="40" t="n">
        <v>35000</v>
      </c>
      <c r="H69" s="41" t="n">
        <v>19</v>
      </c>
      <c r="I69" s="42" t="s">
        <v>187</v>
      </c>
      <c r="J69" s="42" t="s">
        <v>188</v>
      </c>
      <c r="K69" s="42" t="s">
        <v>189</v>
      </c>
      <c r="L69" s="42" t="s">
        <v>372</v>
      </c>
      <c r="M69" s="38" t="s">
        <v>210</v>
      </c>
      <c r="N69" s="43" t="s">
        <v>373</v>
      </c>
      <c r="O69" s="31" t="n">
        <f aca="false">MIN(G69,G69*Depreciation!$C$23*F69)</f>
        <v>9000.53954924406</v>
      </c>
      <c r="P69" s="31" t="n">
        <f aca="false">G69-O69</f>
        <v>25999.4604507559</v>
      </c>
      <c r="Q69" s="22" t="n">
        <f aca="false">IFERROR(P69/Inputs!$C$8,0)</f>
        <v>0.185710431791114</v>
      </c>
      <c r="R69" s="22" t="n">
        <f aca="false">IFERROR(IF(I69="Diesel",Inputs!$C$14,Inputs!$C$13)/H69,0)</f>
        <v>0.186842105263158</v>
      </c>
      <c r="S69" s="22" t="n">
        <f aca="false">IFERROR(IF(J69="Truck",Inputs!$C$16,Inputs!$C$15)/Inputs!$C$17,0)</f>
        <v>0.0236363636363636</v>
      </c>
      <c r="T69" s="22" t="n">
        <f aca="false">Inputs!$C$18</f>
        <v>0.08</v>
      </c>
      <c r="U69" s="22" t="n">
        <f aca="false">Inputs!$C$29</f>
        <v>0.0557142857142857</v>
      </c>
      <c r="V69" s="22" t="n">
        <f aca="false">IFERROR(Inputs!$C$19/Inputs!$C$5,0)</f>
        <v>0.0290909090909091</v>
      </c>
      <c r="W69" s="22" t="n">
        <f aca="false">IFERROR(Inputs!$C$20/Inputs!$C$5,0)</f>
        <v>0.00818181818181818</v>
      </c>
      <c r="X69" s="22" t="n">
        <f aca="false">IFERROR(G69*Inputs!$C$46/Inputs!$C$8,0)</f>
        <v>0.0175</v>
      </c>
      <c r="Y69" s="22" t="n">
        <f aca="false">IFERROR((G69+O69)/2*Inputs!$C$33*Inputs!$C$9/Inputs!$C$8,0)</f>
        <v>0.0180002207246908</v>
      </c>
      <c r="Z69" s="22" t="n">
        <f aca="false">IFERROR((G69*(1-Inputs!$C$35)*Inputs!$C$36*Inputs!$C$34*Inputs!$C$9+G69*Inputs!$C$35*Inputs!$C$33*Inputs!$C$9)/Inputs!$C$8,0)</f>
        <v>0.0239272727272727</v>
      </c>
      <c r="AA69" s="22" t="n">
        <f aca="false">IF(Inputs!$C$32="Cash",Y69,Z69)</f>
        <v>0.0180002207246908</v>
      </c>
      <c r="AB69" s="44" t="n">
        <f aca="false">Q69+R69+S69+T69+U69+V69+W69+X69+AA69</f>
        <v>0.604676134402339</v>
      </c>
      <c r="AC69" s="31" t="n">
        <f aca="false">AB69*Inputs!$C$8</f>
        <v>84654.6588163275</v>
      </c>
      <c r="AD69" s="31" t="n">
        <f aca="false">AB69*Inputs!$C$5</f>
        <v>33257.1873921286</v>
      </c>
      <c r="AE69" s="45" t="n">
        <f aca="false">RANK(AB69,$AB$7:$AB$82,1)</f>
        <v>59</v>
      </c>
      <c r="AF69" s="41" t="n">
        <v>29</v>
      </c>
      <c r="AG69" s="41" t="n">
        <v>56</v>
      </c>
      <c r="AH69" s="46" t="n">
        <v>55.3</v>
      </c>
      <c r="AI69" s="38" t="s">
        <v>193</v>
      </c>
      <c r="AJ69" s="47" t="n">
        <f aca="false">MIN(G69,G69*Depreciation!$E$33*F69)</f>
        <v>10781.2654089195</v>
      </c>
      <c r="AK69" s="48" t="n">
        <f aca="false">IFERROR((G69-AJ69)/(2*Inputs!$C$5),0)</f>
        <v>0.220170314464368</v>
      </c>
    </row>
    <row r="70" customFormat="false" ht="25.5" hidden="false" customHeight="true" outlineLevel="0" collapsed="false">
      <c r="A70" s="35" t="s">
        <v>374</v>
      </c>
      <c r="B70" s="35" t="s">
        <v>366</v>
      </c>
      <c r="C70" s="49" t="s">
        <v>208</v>
      </c>
      <c r="D70" s="24" t="n">
        <v>0.434</v>
      </c>
      <c r="E70" s="38" t="s">
        <v>198</v>
      </c>
      <c r="F70" s="39" t="n">
        <f aca="false">(1-D70)/(1-Inputs!$C$54)</f>
        <v>0.972508591065292</v>
      </c>
      <c r="G70" s="40" t="n">
        <v>32000</v>
      </c>
      <c r="H70" s="41" t="n">
        <v>18.5</v>
      </c>
      <c r="I70" s="42" t="s">
        <v>187</v>
      </c>
      <c r="J70" s="42" t="s">
        <v>188</v>
      </c>
      <c r="K70" s="42" t="s">
        <v>189</v>
      </c>
      <c r="L70" s="42" t="s">
        <v>375</v>
      </c>
      <c r="M70" s="38" t="s">
        <v>210</v>
      </c>
      <c r="N70" s="43" t="s">
        <v>376</v>
      </c>
      <c r="O70" s="31" t="n">
        <f aca="false">MIN(G70,G70*Depreciation!$C$23*F70)</f>
        <v>7975.42917396812</v>
      </c>
      <c r="P70" s="31" t="n">
        <f aca="false">G70-O70</f>
        <v>24024.5708260319</v>
      </c>
      <c r="Q70" s="22" t="n">
        <f aca="false">IFERROR(P70/Inputs!$C$8,0)</f>
        <v>0.171604077328799</v>
      </c>
      <c r="R70" s="22" t="n">
        <f aca="false">IFERROR(IF(I70="Diesel",Inputs!$C$14,Inputs!$C$13)/H70,0)</f>
        <v>0.191891891891892</v>
      </c>
      <c r="S70" s="22" t="n">
        <f aca="false">IFERROR(IF(J70="Truck",Inputs!$C$16,Inputs!$C$15)/Inputs!$C$17,0)</f>
        <v>0.0236363636363636</v>
      </c>
      <c r="T70" s="22" t="n">
        <f aca="false">Inputs!$C$18</f>
        <v>0.08</v>
      </c>
      <c r="U70" s="22" t="n">
        <f aca="false">Inputs!$C$29</f>
        <v>0.0557142857142857</v>
      </c>
      <c r="V70" s="22" t="n">
        <f aca="false">IFERROR(Inputs!$C$19/Inputs!$C$5,0)</f>
        <v>0.0290909090909091</v>
      </c>
      <c r="W70" s="22" t="n">
        <f aca="false">IFERROR(Inputs!$C$20/Inputs!$C$5,0)</f>
        <v>0.00818181818181818</v>
      </c>
      <c r="X70" s="22" t="n">
        <f aca="false">IFERROR(G70*Inputs!$C$46/Inputs!$C$8,0)</f>
        <v>0.016</v>
      </c>
      <c r="Y70" s="22" t="n">
        <f aca="false">IFERROR((G70+O70)/2*Inputs!$C$33*Inputs!$C$9/Inputs!$C$8,0)</f>
        <v>0.0163535846620779</v>
      </c>
      <c r="Z70" s="22" t="n">
        <f aca="false">IFERROR((G70*(1-Inputs!$C$35)*Inputs!$C$36*Inputs!$C$34*Inputs!$C$9+G70*Inputs!$C$35*Inputs!$C$33*Inputs!$C$9)/Inputs!$C$8,0)</f>
        <v>0.0218763636363636</v>
      </c>
      <c r="AA70" s="22" t="n">
        <f aca="false">IF(Inputs!$C$32="Cash",Y70,Z70)</f>
        <v>0.0163535846620779</v>
      </c>
      <c r="AB70" s="44" t="n">
        <f aca="false">Q70+R70+S70+T70+U70+V70+W70+X70+AA70</f>
        <v>0.592472930506145</v>
      </c>
      <c r="AC70" s="31" t="n">
        <f aca="false">AB70*Inputs!$C$8</f>
        <v>82946.2102708604</v>
      </c>
      <c r="AD70" s="31" t="n">
        <f aca="false">AB70*Inputs!$C$5</f>
        <v>32586.011177838</v>
      </c>
      <c r="AE70" s="45" t="n">
        <f aca="false">RANK(AB70,$AB$7:$AB$82,1)</f>
        <v>54</v>
      </c>
      <c r="AF70" s="41" t="n">
        <v>60.7</v>
      </c>
      <c r="AG70" s="41" t="n">
        <v>56</v>
      </c>
      <c r="AH70" s="46" t="n">
        <v>55.3</v>
      </c>
      <c r="AI70" s="38" t="s">
        <v>193</v>
      </c>
      <c r="AJ70" s="47" t="n">
        <f aca="false">MIN(G70,G70*Depreciation!$E$33*F70)</f>
        <v>9553.34046410717</v>
      </c>
      <c r="AK70" s="48" t="n">
        <f aca="false">IFERROR((G70-AJ70)/(2*Inputs!$C$5),0)</f>
        <v>0.204060541235389</v>
      </c>
    </row>
    <row r="71" customFormat="false" ht="25.5" hidden="false" customHeight="true" outlineLevel="0" collapsed="false">
      <c r="A71" s="35" t="s">
        <v>377</v>
      </c>
      <c r="B71" s="35" t="s">
        <v>366</v>
      </c>
      <c r="C71" s="49" t="s">
        <v>208</v>
      </c>
      <c r="D71" s="24" t="n">
        <v>0.434</v>
      </c>
      <c r="E71" s="38" t="s">
        <v>225</v>
      </c>
      <c r="F71" s="39" t="n">
        <f aca="false">(1-D71)/(1-Inputs!$C$54)</f>
        <v>0.972508591065292</v>
      </c>
      <c r="G71" s="40" t="n">
        <v>42000</v>
      </c>
      <c r="H71" s="41" t="n">
        <v>24</v>
      </c>
      <c r="I71" s="42" t="s">
        <v>268</v>
      </c>
      <c r="J71" s="42" t="s">
        <v>188</v>
      </c>
      <c r="K71" s="42" t="s">
        <v>189</v>
      </c>
      <c r="L71" s="42" t="s">
        <v>226</v>
      </c>
      <c r="M71" s="38" t="s">
        <v>227</v>
      </c>
      <c r="N71" s="43" t="s">
        <v>378</v>
      </c>
      <c r="O71" s="31" t="n">
        <f aca="false">MIN(G71,G71*Depreciation!$C$23*F71)</f>
        <v>10467.7507908332</v>
      </c>
      <c r="P71" s="31" t="n">
        <f aca="false">G71-O71</f>
        <v>31532.2492091668</v>
      </c>
      <c r="Q71" s="22" t="n">
        <f aca="false">IFERROR(P71/Inputs!$C$8,0)</f>
        <v>0.225230351494049</v>
      </c>
      <c r="R71" s="22" t="n">
        <f aca="false">IFERROR(IF(I71="Diesel",Inputs!$C$14,Inputs!$C$13)/H71,0)</f>
        <v>0.147916666666667</v>
      </c>
      <c r="S71" s="22" t="n">
        <f aca="false">IFERROR(IF(J71="Truck",Inputs!$C$16,Inputs!$C$15)/Inputs!$C$17,0)</f>
        <v>0.0236363636363636</v>
      </c>
      <c r="T71" s="22" t="n">
        <f aca="false">Inputs!$C$18</f>
        <v>0.08</v>
      </c>
      <c r="U71" s="22" t="n">
        <f aca="false">Inputs!$C$29</f>
        <v>0.0557142857142857</v>
      </c>
      <c r="V71" s="22" t="n">
        <f aca="false">IFERROR(Inputs!$C$19/Inputs!$C$5,0)</f>
        <v>0.0290909090909091</v>
      </c>
      <c r="W71" s="22" t="n">
        <f aca="false">IFERROR(Inputs!$C$20/Inputs!$C$5,0)</f>
        <v>0.00818181818181818</v>
      </c>
      <c r="X71" s="22" t="n">
        <f aca="false">IFERROR(G71*Inputs!$C$46/Inputs!$C$8,0)</f>
        <v>0.021</v>
      </c>
      <c r="Y71" s="22" t="n">
        <f aca="false">IFERROR((G71+O71)/2*Inputs!$C$33*Inputs!$C$9/Inputs!$C$8,0)</f>
        <v>0.0214640798689772</v>
      </c>
      <c r="Z71" s="22" t="n">
        <f aca="false">IFERROR((G71*(1-Inputs!$C$35)*Inputs!$C$36*Inputs!$C$34*Inputs!$C$9+G71*Inputs!$C$35*Inputs!$C$33*Inputs!$C$9)/Inputs!$C$8,0)</f>
        <v>0.0287127272727273</v>
      </c>
      <c r="AA71" s="22" t="n">
        <f aca="false">IF(Inputs!$C$32="Cash",Y71,Z71)</f>
        <v>0.0214640798689772</v>
      </c>
      <c r="AB71" s="44" t="n">
        <f aca="false">Q71+R71+S71+T71+U71+V71+W71+X71+AA71</f>
        <v>0.612234474653069</v>
      </c>
      <c r="AC71" s="31" t="n">
        <f aca="false">AB71*Inputs!$C$8</f>
        <v>85712.8264514297</v>
      </c>
      <c r="AD71" s="31" t="n">
        <f aca="false">AB71*Inputs!$C$5</f>
        <v>33672.8961059188</v>
      </c>
      <c r="AE71" s="45" t="n">
        <f aca="false">RANK(AB71,$AB$7:$AB$82,1)</f>
        <v>62</v>
      </c>
      <c r="AF71" s="41" t="n">
        <v>54.7</v>
      </c>
      <c r="AG71" s="41" t="n">
        <v>82.9</v>
      </c>
      <c r="AH71" s="46" t="n">
        <v>52.4</v>
      </c>
      <c r="AI71" s="38" t="s">
        <v>193</v>
      </c>
      <c r="AJ71" s="47" t="n">
        <f aca="false">MIN(G71,G71*Depreciation!$E$33*F71)</f>
        <v>12538.7593591407</v>
      </c>
      <c r="AK71" s="48" t="n">
        <f aca="false">IFERROR((G71-AJ71)/(2*Inputs!$C$5),0)</f>
        <v>0.267829460371449</v>
      </c>
    </row>
    <row r="72" customFormat="false" ht="25.5" hidden="false" customHeight="true" outlineLevel="0" collapsed="false">
      <c r="A72" s="35" t="s">
        <v>379</v>
      </c>
      <c r="B72" s="35" t="s">
        <v>366</v>
      </c>
      <c r="C72" s="49" t="s">
        <v>208</v>
      </c>
      <c r="D72" s="24" t="n">
        <v>0.428</v>
      </c>
      <c r="E72" s="38" t="s">
        <v>198</v>
      </c>
      <c r="F72" s="39" t="n">
        <f aca="false">(1-D72)/(1-Inputs!$C$54)</f>
        <v>0.982817869415808</v>
      </c>
      <c r="G72" s="40" t="n">
        <v>37000</v>
      </c>
      <c r="H72" s="41" t="n">
        <v>20</v>
      </c>
      <c r="I72" s="42" t="s">
        <v>187</v>
      </c>
      <c r="J72" s="42" t="s">
        <v>188</v>
      </c>
      <c r="K72" s="42" t="s">
        <v>189</v>
      </c>
      <c r="L72" s="42" t="s">
        <v>380</v>
      </c>
      <c r="M72" s="38" t="s">
        <v>191</v>
      </c>
      <c r="N72" s="43" t="s">
        <v>381</v>
      </c>
      <c r="O72" s="31" t="n">
        <f aca="false">MIN(G72,G72*Depreciation!$C$23*F72)</f>
        <v>9319.34535323881</v>
      </c>
      <c r="P72" s="31" t="n">
        <f aca="false">G72-O72</f>
        <v>27680.6546467612</v>
      </c>
      <c r="Q72" s="22" t="n">
        <f aca="false">IFERROR(P72/Inputs!$C$8,0)</f>
        <v>0.19771896176258</v>
      </c>
      <c r="R72" s="22" t="n">
        <f aca="false">IFERROR(IF(I72="Diesel",Inputs!$C$14,Inputs!$C$13)/H72,0)</f>
        <v>0.1775</v>
      </c>
      <c r="S72" s="22" t="n">
        <f aca="false">IFERROR(IF(J72="Truck",Inputs!$C$16,Inputs!$C$15)/Inputs!$C$17,0)</f>
        <v>0.0236363636363636</v>
      </c>
      <c r="T72" s="22" t="n">
        <f aca="false">Inputs!$C$18</f>
        <v>0.08</v>
      </c>
      <c r="U72" s="22" t="n">
        <f aca="false">Inputs!$C$29</f>
        <v>0.0557142857142857</v>
      </c>
      <c r="V72" s="22" t="n">
        <f aca="false">IFERROR(Inputs!$C$19/Inputs!$C$5,0)</f>
        <v>0.0290909090909091</v>
      </c>
      <c r="W72" s="22" t="n">
        <f aca="false">IFERROR(Inputs!$C$20/Inputs!$C$5,0)</f>
        <v>0.00818181818181818</v>
      </c>
      <c r="X72" s="22" t="n">
        <f aca="false">IFERROR(G72*Inputs!$C$46/Inputs!$C$8,0)</f>
        <v>0.0185</v>
      </c>
      <c r="Y72" s="22" t="n">
        <f aca="false">IFERROR((G72+O72)/2*Inputs!$C$33*Inputs!$C$9/Inputs!$C$8,0)</f>
        <v>0.0189488230990522</v>
      </c>
      <c r="Z72" s="22" t="n">
        <f aca="false">IFERROR((G72*(1-Inputs!$C$35)*Inputs!$C$36*Inputs!$C$34*Inputs!$C$9+G72*Inputs!$C$35*Inputs!$C$33*Inputs!$C$9)/Inputs!$C$8,0)</f>
        <v>0.0252945454545455</v>
      </c>
      <c r="AA72" s="22" t="n">
        <f aca="false">IF(Inputs!$C$32="Cash",Y72,Z72)</f>
        <v>0.0189488230990522</v>
      </c>
      <c r="AB72" s="44" t="n">
        <f aca="false">Q72+R72+S72+T72+U72+V72+W72+X72+AA72</f>
        <v>0.609291161485009</v>
      </c>
      <c r="AC72" s="31" t="n">
        <f aca="false">AB72*Inputs!$C$8</f>
        <v>85300.7626079012</v>
      </c>
      <c r="AD72" s="31" t="n">
        <f aca="false">AB72*Inputs!$C$5</f>
        <v>33511.0138816755</v>
      </c>
      <c r="AE72" s="45" t="n">
        <f aca="false">RANK(AB72,$AB$7:$AB$82,1)</f>
        <v>61</v>
      </c>
      <c r="AF72" s="41" t="n">
        <v>21.4</v>
      </c>
      <c r="AG72" s="41" t="n">
        <v>66.2</v>
      </c>
      <c r="AH72" s="46" t="n">
        <v>54.2</v>
      </c>
      <c r="AI72" s="38" t="s">
        <v>193</v>
      </c>
      <c r="AJ72" s="47" t="n">
        <f aca="false">MIN(G72,G72*Depreciation!$E$33*F72)</f>
        <v>11163.1458470828</v>
      </c>
      <c r="AK72" s="48" t="n">
        <f aca="false">IFERROR((G72-AJ72)/(2*Inputs!$C$5),0)</f>
        <v>0.234880492299247</v>
      </c>
    </row>
    <row r="73" customFormat="false" ht="25.5" hidden="false" customHeight="true" outlineLevel="0" collapsed="false">
      <c r="A73" s="35" t="s">
        <v>382</v>
      </c>
      <c r="B73" s="35" t="s">
        <v>245</v>
      </c>
      <c r="C73" s="49" t="s">
        <v>208</v>
      </c>
      <c r="D73" s="24" t="n">
        <v>0.347</v>
      </c>
      <c r="E73" s="38" t="s">
        <v>198</v>
      </c>
      <c r="F73" s="39" t="n">
        <f aca="false">(1-D73)/(1-Inputs!$C$54)</f>
        <v>1.12199312714777</v>
      </c>
      <c r="G73" s="40" t="n">
        <v>32000</v>
      </c>
      <c r="H73" s="41" t="n">
        <v>25</v>
      </c>
      <c r="I73" s="42" t="s">
        <v>187</v>
      </c>
      <c r="J73" s="42" t="s">
        <v>188</v>
      </c>
      <c r="K73" s="42" t="s">
        <v>189</v>
      </c>
      <c r="L73" s="42" t="s">
        <v>383</v>
      </c>
      <c r="M73" s="38" t="s">
        <v>210</v>
      </c>
      <c r="N73" s="43" t="s">
        <v>384</v>
      </c>
      <c r="O73" s="31" t="n">
        <f aca="false">MIN(G73,G73*Depreciation!$C$23*F73)</f>
        <v>9201.33436501976</v>
      </c>
      <c r="P73" s="31" t="n">
        <f aca="false">G73-O73</f>
        <v>22798.6656349802</v>
      </c>
      <c r="Q73" s="22" t="n">
        <f aca="false">IFERROR(P73/Inputs!$C$8,0)</f>
        <v>0.16284761167843</v>
      </c>
      <c r="R73" s="22" t="n">
        <f aca="false">IFERROR(IF(I73="Diesel",Inputs!$C$14,Inputs!$C$13)/H73,0)</f>
        <v>0.142</v>
      </c>
      <c r="S73" s="22" t="n">
        <f aca="false">IFERROR(IF(J73="Truck",Inputs!$C$16,Inputs!$C$15)/Inputs!$C$17,0)</f>
        <v>0.0236363636363636</v>
      </c>
      <c r="T73" s="22" t="n">
        <f aca="false">Inputs!$C$18</f>
        <v>0.08</v>
      </c>
      <c r="U73" s="22" t="n">
        <f aca="false">Inputs!$C$29</f>
        <v>0.0557142857142857</v>
      </c>
      <c r="V73" s="22" t="n">
        <f aca="false">IFERROR(Inputs!$C$19/Inputs!$C$5,0)</f>
        <v>0.0290909090909091</v>
      </c>
      <c r="W73" s="22" t="n">
        <f aca="false">IFERROR(Inputs!$C$20/Inputs!$C$5,0)</f>
        <v>0.00818181818181818</v>
      </c>
      <c r="X73" s="22" t="n">
        <f aca="false">IFERROR(G73*Inputs!$C$46/Inputs!$C$8,0)</f>
        <v>0.016</v>
      </c>
      <c r="Y73" s="22" t="n">
        <f aca="false">IFERROR((G73+O73)/2*Inputs!$C$33*Inputs!$C$9/Inputs!$C$8,0)</f>
        <v>0.0168550913311444</v>
      </c>
      <c r="Z73" s="22" t="n">
        <f aca="false">IFERROR((G73*(1-Inputs!$C$35)*Inputs!$C$36*Inputs!$C$34*Inputs!$C$9+G73*Inputs!$C$35*Inputs!$C$33*Inputs!$C$9)/Inputs!$C$8,0)</f>
        <v>0.0218763636363636</v>
      </c>
      <c r="AA73" s="22" t="n">
        <f aca="false">IF(Inputs!$C$32="Cash",Y73,Z73)</f>
        <v>0.0168550913311444</v>
      </c>
      <c r="AB73" s="44" t="n">
        <f aca="false">Q73+R73+S73+T73+U73+V73+W73+X73+AA73</f>
        <v>0.534326079632951</v>
      </c>
      <c r="AC73" s="31" t="n">
        <f aca="false">AB73*Inputs!$C$8</f>
        <v>74805.6511486132</v>
      </c>
      <c r="AD73" s="31" t="n">
        <f aca="false">AB73*Inputs!$C$5</f>
        <v>29387.9343798123</v>
      </c>
      <c r="AE73" s="45" t="n">
        <f aca="false">RANK(AB73,$AB$7:$AB$82,1)</f>
        <v>33</v>
      </c>
      <c r="AF73" s="41" t="n">
        <v>60.7</v>
      </c>
      <c r="AG73" s="41" t="n">
        <v>22.7</v>
      </c>
      <c r="AH73" s="46" t="n">
        <v>58.9</v>
      </c>
      <c r="AI73" s="38" t="s">
        <v>193</v>
      </c>
      <c r="AJ73" s="47" t="n">
        <f aca="false">MIN(G73,G73*Depreciation!$E$33*F73)</f>
        <v>11021.7867898622</v>
      </c>
      <c r="AK73" s="48" t="n">
        <f aca="false">IFERROR((G73-AJ73)/(2*Inputs!$C$5),0)</f>
        <v>0.190711029183071</v>
      </c>
    </row>
    <row r="74" customFormat="false" ht="25.5" hidden="false" customHeight="true" outlineLevel="0" collapsed="false">
      <c r="A74" s="35" t="s">
        <v>385</v>
      </c>
      <c r="B74" s="35" t="s">
        <v>245</v>
      </c>
      <c r="C74" s="49" t="s">
        <v>208</v>
      </c>
      <c r="D74" s="24" t="n">
        <v>0.409</v>
      </c>
      <c r="E74" s="38" t="s">
        <v>198</v>
      </c>
      <c r="F74" s="39" t="n">
        <f aca="false">(1-D74)/(1-Inputs!$C$54)</f>
        <v>1.01546391752577</v>
      </c>
      <c r="G74" s="40" t="n">
        <v>29000</v>
      </c>
      <c r="H74" s="41" t="n">
        <v>25</v>
      </c>
      <c r="I74" s="42" t="s">
        <v>187</v>
      </c>
      <c r="J74" s="42" t="s">
        <v>188</v>
      </c>
      <c r="K74" s="42" t="s">
        <v>189</v>
      </c>
      <c r="L74" s="42" t="s">
        <v>386</v>
      </c>
      <c r="M74" s="38" t="s">
        <v>191</v>
      </c>
      <c r="N74" s="43" t="s">
        <v>387</v>
      </c>
      <c r="O74" s="31" t="n">
        <f aca="false">MIN(G74,G74*Depreciation!$C$23*F74)</f>
        <v>7546.97883241164</v>
      </c>
      <c r="P74" s="31" t="n">
        <f aca="false">G74-O74</f>
        <v>21453.0211675884</v>
      </c>
      <c r="Q74" s="22" t="n">
        <f aca="false">IFERROR(P74/Inputs!$C$8,0)</f>
        <v>0.153235865482774</v>
      </c>
      <c r="R74" s="22" t="n">
        <f aca="false">IFERROR(IF(I74="Diesel",Inputs!$C$14,Inputs!$C$13)/H74,0)</f>
        <v>0.142</v>
      </c>
      <c r="S74" s="22" t="n">
        <f aca="false">IFERROR(IF(J74="Truck",Inputs!$C$16,Inputs!$C$15)/Inputs!$C$17,0)</f>
        <v>0.0236363636363636</v>
      </c>
      <c r="T74" s="22" t="n">
        <f aca="false">Inputs!$C$18</f>
        <v>0.08</v>
      </c>
      <c r="U74" s="22" t="n">
        <f aca="false">Inputs!$C$29</f>
        <v>0.0557142857142857</v>
      </c>
      <c r="V74" s="22" t="n">
        <f aca="false">IFERROR(Inputs!$C$19/Inputs!$C$5,0)</f>
        <v>0.0290909090909091</v>
      </c>
      <c r="W74" s="22" t="n">
        <f aca="false">IFERROR(Inputs!$C$20/Inputs!$C$5,0)</f>
        <v>0.00818181818181818</v>
      </c>
      <c r="X74" s="22" t="n">
        <f aca="false">IFERROR(G74*Inputs!$C$46/Inputs!$C$8,0)</f>
        <v>0.0145</v>
      </c>
      <c r="Y74" s="22" t="n">
        <f aca="false">IFERROR((G74+O74)/2*Inputs!$C$33*Inputs!$C$9/Inputs!$C$8,0)</f>
        <v>0.0149510367950775</v>
      </c>
      <c r="Z74" s="22" t="n">
        <f aca="false">IFERROR((G74*(1-Inputs!$C$35)*Inputs!$C$36*Inputs!$C$34*Inputs!$C$9+G74*Inputs!$C$35*Inputs!$C$33*Inputs!$C$9)/Inputs!$C$8,0)</f>
        <v>0.0198254545454546</v>
      </c>
      <c r="AA74" s="22" t="n">
        <f aca="false">IF(Inputs!$C$32="Cash",Y74,Z74)</f>
        <v>0.0149510367950775</v>
      </c>
      <c r="AB74" s="44" t="n">
        <f aca="false">Q74+R74+S74+T74+U74+V74+W74+X74+AA74</f>
        <v>0.521310278901228</v>
      </c>
      <c r="AC74" s="31" t="n">
        <f aca="false">AB74*Inputs!$C$8</f>
        <v>72983.4390461719</v>
      </c>
      <c r="AD74" s="31" t="n">
        <f aca="false">AB74*Inputs!$C$5</f>
        <v>28672.0653395675</v>
      </c>
      <c r="AE74" s="45" t="n">
        <f aca="false">RANK(AB74,$AB$7:$AB$82,1)</f>
        <v>27</v>
      </c>
      <c r="AF74" s="41" t="n">
        <v>63.6</v>
      </c>
      <c r="AG74" s="41" t="n">
        <v>36.6</v>
      </c>
      <c r="AH74" s="46" t="n">
        <v>57.4</v>
      </c>
      <c r="AI74" s="38" t="s">
        <v>193</v>
      </c>
      <c r="AJ74" s="47" t="n">
        <f aca="false">MIN(G74,G74*Depreciation!$E$33*F74)</f>
        <v>9040.12269292915</v>
      </c>
      <c r="AK74" s="48" t="n">
        <f aca="false">IFERROR((G74-AJ74)/(2*Inputs!$C$5),0)</f>
        <v>0.18145343006428</v>
      </c>
    </row>
    <row r="75" customFormat="false" ht="25.5" hidden="false" customHeight="true" outlineLevel="0" collapsed="false">
      <c r="A75" s="35" t="s">
        <v>388</v>
      </c>
      <c r="B75" s="35" t="s">
        <v>245</v>
      </c>
      <c r="C75" s="49" t="s">
        <v>208</v>
      </c>
      <c r="D75" s="24" t="n">
        <v>0.381</v>
      </c>
      <c r="E75" s="38" t="s">
        <v>198</v>
      </c>
      <c r="F75" s="39" t="n">
        <f aca="false">(1-D75)/(1-Inputs!$C$54)</f>
        <v>1.06357388316151</v>
      </c>
      <c r="G75" s="40" t="n">
        <v>30000</v>
      </c>
      <c r="H75" s="41" t="n">
        <v>25</v>
      </c>
      <c r="I75" s="42" t="s">
        <v>187</v>
      </c>
      <c r="J75" s="42" t="s">
        <v>188</v>
      </c>
      <c r="K75" s="42" t="s">
        <v>189</v>
      </c>
      <c r="L75" s="42" t="s">
        <v>389</v>
      </c>
      <c r="M75" s="38" t="s">
        <v>191</v>
      </c>
      <c r="N75" s="43" t="s">
        <v>390</v>
      </c>
      <c r="O75" s="31" t="n">
        <f aca="false">MIN(G75,G75*Depreciation!$C$23*F75)</f>
        <v>8177.10466876038</v>
      </c>
      <c r="P75" s="31" t="n">
        <f aca="false">G75-O75</f>
        <v>21822.8953312396</v>
      </c>
      <c r="Q75" s="22" t="n">
        <f aca="false">IFERROR(P75/Inputs!$C$8,0)</f>
        <v>0.155877823794569</v>
      </c>
      <c r="R75" s="22" t="n">
        <f aca="false">IFERROR(IF(I75="Diesel",Inputs!$C$14,Inputs!$C$13)/H75,0)</f>
        <v>0.142</v>
      </c>
      <c r="S75" s="22" t="n">
        <f aca="false">IFERROR(IF(J75="Truck",Inputs!$C$16,Inputs!$C$15)/Inputs!$C$17,0)</f>
        <v>0.0236363636363636</v>
      </c>
      <c r="T75" s="22" t="n">
        <f aca="false">Inputs!$C$18</f>
        <v>0.08</v>
      </c>
      <c r="U75" s="22" t="n">
        <f aca="false">Inputs!$C$29</f>
        <v>0.0557142857142857</v>
      </c>
      <c r="V75" s="22" t="n">
        <f aca="false">IFERROR(Inputs!$C$19/Inputs!$C$5,0)</f>
        <v>0.0290909090909091</v>
      </c>
      <c r="W75" s="22" t="n">
        <f aca="false">IFERROR(Inputs!$C$20/Inputs!$C$5,0)</f>
        <v>0.00818181818181818</v>
      </c>
      <c r="X75" s="22" t="n">
        <f aca="false">IFERROR(G75*Inputs!$C$46/Inputs!$C$8,0)</f>
        <v>0.015</v>
      </c>
      <c r="Y75" s="22" t="n">
        <f aca="false">IFERROR((G75+O75)/2*Inputs!$C$33*Inputs!$C$9/Inputs!$C$8,0)</f>
        <v>0.015617906455402</v>
      </c>
      <c r="Z75" s="22" t="n">
        <f aca="false">IFERROR((G75*(1-Inputs!$C$35)*Inputs!$C$36*Inputs!$C$34*Inputs!$C$9+G75*Inputs!$C$35*Inputs!$C$33*Inputs!$C$9)/Inputs!$C$8,0)</f>
        <v>0.0205090909090909</v>
      </c>
      <c r="AA75" s="22" t="n">
        <f aca="false">IF(Inputs!$C$32="Cash",Y75,Z75)</f>
        <v>0.015617906455402</v>
      </c>
      <c r="AB75" s="44" t="n">
        <f aca="false">Q75+R75+S75+T75+U75+V75+W75+X75+AA75</f>
        <v>0.525119106873347</v>
      </c>
      <c r="AC75" s="31" t="n">
        <f aca="false">AB75*Inputs!$C$8</f>
        <v>73516.6749622686</v>
      </c>
      <c r="AD75" s="31" t="n">
        <f aca="false">AB75*Inputs!$C$5</f>
        <v>28881.5508780341</v>
      </c>
      <c r="AE75" s="45" t="n">
        <f aca="false">RANK(AB75,$AB$7:$AB$82,1)</f>
        <v>28</v>
      </c>
      <c r="AF75" s="41" t="n">
        <v>47</v>
      </c>
      <c r="AG75" s="41" t="n">
        <v>23.6</v>
      </c>
      <c r="AH75" s="46" t="n">
        <v>58.8</v>
      </c>
      <c r="AI75" s="38" t="s">
        <v>193</v>
      </c>
      <c r="AJ75" s="47" t="n">
        <f aca="false">MIN(G75,G75*Depreciation!$E$33*F75)</f>
        <v>9794.91676338727</v>
      </c>
      <c r="AK75" s="48" t="n">
        <f aca="false">IFERROR((G75-AJ75)/(2*Inputs!$C$5),0)</f>
        <v>0.183682574878298</v>
      </c>
    </row>
    <row r="76" customFormat="false" ht="25.5" hidden="false" customHeight="true" outlineLevel="0" collapsed="false">
      <c r="A76" s="35" t="s">
        <v>391</v>
      </c>
      <c r="B76" s="35" t="s">
        <v>245</v>
      </c>
      <c r="C76" s="37" t="s">
        <v>185</v>
      </c>
      <c r="D76" s="24" t="n">
        <v>0.383</v>
      </c>
      <c r="E76" s="38" t="s">
        <v>198</v>
      </c>
      <c r="F76" s="39" t="n">
        <f aca="false">(1-D76)/(1-Inputs!$C$54)</f>
        <v>1.06013745704467</v>
      </c>
      <c r="G76" s="40" t="n">
        <v>29000</v>
      </c>
      <c r="H76" s="41" t="n">
        <v>22</v>
      </c>
      <c r="I76" s="42" t="s">
        <v>187</v>
      </c>
      <c r="J76" s="42" t="s">
        <v>188</v>
      </c>
      <c r="K76" s="42" t="s">
        <v>189</v>
      </c>
      <c r="L76" s="42" t="s">
        <v>392</v>
      </c>
      <c r="M76" s="38" t="s">
        <v>191</v>
      </c>
      <c r="N76" s="43" t="s">
        <v>393</v>
      </c>
      <c r="O76" s="31" t="n">
        <f aca="false">MIN(G76,G76*Depreciation!$C$23*F76)</f>
        <v>7878.99482165479</v>
      </c>
      <c r="P76" s="31" t="n">
        <f aca="false">G76-O76</f>
        <v>21121.0051783452</v>
      </c>
      <c r="Q76" s="22" t="n">
        <f aca="false">IFERROR(P76/Inputs!$C$8,0)</f>
        <v>0.150864322702466</v>
      </c>
      <c r="R76" s="22" t="n">
        <f aca="false">IFERROR(IF(I76="Diesel",Inputs!$C$14,Inputs!$C$13)/H76,0)</f>
        <v>0.161363636363636</v>
      </c>
      <c r="S76" s="22" t="n">
        <f aca="false">IFERROR(IF(J76="Truck",Inputs!$C$16,Inputs!$C$15)/Inputs!$C$17,0)</f>
        <v>0.0236363636363636</v>
      </c>
      <c r="T76" s="22" t="n">
        <f aca="false">Inputs!$C$18</f>
        <v>0.08</v>
      </c>
      <c r="U76" s="22" t="n">
        <f aca="false">Inputs!$C$29</f>
        <v>0.0557142857142857</v>
      </c>
      <c r="V76" s="22" t="n">
        <f aca="false">IFERROR(Inputs!$C$19/Inputs!$C$5,0)</f>
        <v>0.0290909090909091</v>
      </c>
      <c r="W76" s="22" t="n">
        <f aca="false">IFERROR(Inputs!$C$20/Inputs!$C$5,0)</f>
        <v>0.00818181818181818</v>
      </c>
      <c r="X76" s="22" t="n">
        <f aca="false">IFERROR(G76*Inputs!$C$46/Inputs!$C$8,0)</f>
        <v>0.0145</v>
      </c>
      <c r="Y76" s="22" t="n">
        <f aca="false">IFERROR((G76+O76)/2*Inputs!$C$33*Inputs!$C$9/Inputs!$C$8,0)</f>
        <v>0.0150868615179497</v>
      </c>
      <c r="Z76" s="22" t="n">
        <f aca="false">IFERROR((G76*(1-Inputs!$C$35)*Inputs!$C$36*Inputs!$C$34*Inputs!$C$9+G76*Inputs!$C$35*Inputs!$C$33*Inputs!$C$9)/Inputs!$C$8,0)</f>
        <v>0.0198254545454546</v>
      </c>
      <c r="AA76" s="22" t="n">
        <f aca="false">IF(Inputs!$C$32="Cash",Y76,Z76)</f>
        <v>0.0150868615179497</v>
      </c>
      <c r="AB76" s="44" t="n">
        <f aca="false">Q76+R76+S76+T76+U76+V76+W76+X76+AA76</f>
        <v>0.538438197207428</v>
      </c>
      <c r="AC76" s="31" t="n">
        <f aca="false">AB76*Inputs!$C$8</f>
        <v>75381.34760904</v>
      </c>
      <c r="AD76" s="31" t="n">
        <f aca="false">AB76*Inputs!$C$5</f>
        <v>29614.1008464086</v>
      </c>
      <c r="AE76" s="45" t="n">
        <f aca="false">RANK(AB76,$AB$7:$AB$82,1)</f>
        <v>39</v>
      </c>
      <c r="AF76" s="41" t="n">
        <v>86.4</v>
      </c>
      <c r="AG76" s="41" t="n">
        <v>57.9</v>
      </c>
      <c r="AH76" s="46" t="n">
        <v>55.1</v>
      </c>
      <c r="AI76" s="38" t="s">
        <v>193</v>
      </c>
      <c r="AJ76" s="47" t="n">
        <f aca="false">MIN(G76,G76*Depreciation!$E$33*F76)</f>
        <v>9437.82690615446</v>
      </c>
      <c r="AK76" s="48" t="n">
        <f aca="false">IFERROR((G76-AJ76)/(2*Inputs!$C$5),0)</f>
        <v>0.177837937216778</v>
      </c>
    </row>
    <row r="77" customFormat="false" ht="25.5" hidden="false" customHeight="true" outlineLevel="0" collapsed="false">
      <c r="A77" s="35" t="s">
        <v>394</v>
      </c>
      <c r="B77" s="35" t="s">
        <v>366</v>
      </c>
      <c r="C77" s="49" t="s">
        <v>208</v>
      </c>
      <c r="D77" s="24" t="n">
        <v>0.481</v>
      </c>
      <c r="E77" s="38" t="s">
        <v>198</v>
      </c>
      <c r="F77" s="39" t="n">
        <f aca="false">(1-D77)/(1-Inputs!$C$54)</f>
        <v>0.891752577319588</v>
      </c>
      <c r="G77" s="40" t="n">
        <v>30000</v>
      </c>
      <c r="H77" s="41" t="n">
        <v>19</v>
      </c>
      <c r="I77" s="42" t="s">
        <v>187</v>
      </c>
      <c r="J77" s="42" t="s">
        <v>188</v>
      </c>
      <c r="K77" s="42" t="s">
        <v>189</v>
      </c>
      <c r="L77" s="42" t="s">
        <v>395</v>
      </c>
      <c r="M77" s="38" t="s">
        <v>191</v>
      </c>
      <c r="N77" s="43" t="s">
        <v>396</v>
      </c>
      <c r="O77" s="31" t="n">
        <f aca="false">MIN(G77,G77*Depreciation!$C$23*F77)</f>
        <v>6856.08614392026</v>
      </c>
      <c r="P77" s="31" t="n">
        <f aca="false">G77-O77</f>
        <v>23143.9138560797</v>
      </c>
      <c r="Q77" s="22" t="n">
        <f aca="false">IFERROR(P77/Inputs!$C$8,0)</f>
        <v>0.16531367040057</v>
      </c>
      <c r="R77" s="22" t="n">
        <f aca="false">IFERROR(IF(I77="Diesel",Inputs!$C$14,Inputs!$C$13)/H77,0)</f>
        <v>0.186842105263158</v>
      </c>
      <c r="S77" s="22" t="n">
        <f aca="false">IFERROR(IF(J77="Truck",Inputs!$C$16,Inputs!$C$15)/Inputs!$C$17,0)</f>
        <v>0.0236363636363636</v>
      </c>
      <c r="T77" s="22" t="n">
        <f aca="false">Inputs!$C$18</f>
        <v>0.08</v>
      </c>
      <c r="U77" s="22" t="n">
        <f aca="false">Inputs!$C$29</f>
        <v>0.0557142857142857</v>
      </c>
      <c r="V77" s="22" t="n">
        <f aca="false">IFERROR(Inputs!$C$19/Inputs!$C$5,0)</f>
        <v>0.0290909090909091</v>
      </c>
      <c r="W77" s="22" t="n">
        <f aca="false">IFERROR(Inputs!$C$20/Inputs!$C$5,0)</f>
        <v>0.00818181818181818</v>
      </c>
      <c r="X77" s="22" t="n">
        <f aca="false">IFERROR(G77*Inputs!$C$46/Inputs!$C$8,0)</f>
        <v>0.015</v>
      </c>
      <c r="Y77" s="22" t="n">
        <f aca="false">IFERROR((G77+O77)/2*Inputs!$C$33*Inputs!$C$9/Inputs!$C$8,0)</f>
        <v>0.0150774897861492</v>
      </c>
      <c r="Z77" s="22" t="n">
        <f aca="false">IFERROR((G77*(1-Inputs!$C$35)*Inputs!$C$36*Inputs!$C$34*Inputs!$C$9+G77*Inputs!$C$35*Inputs!$C$33*Inputs!$C$9)/Inputs!$C$8,0)</f>
        <v>0.0205090909090909</v>
      </c>
      <c r="AA77" s="22" t="n">
        <f aca="false">IF(Inputs!$C$32="Cash",Y77,Z77)</f>
        <v>0.0150774897861492</v>
      </c>
      <c r="AB77" s="44" t="n">
        <f aca="false">Q77+R77+S77+T77+U77+V77+W77+X77+AA77</f>
        <v>0.578856642073253</v>
      </c>
      <c r="AC77" s="31" t="n">
        <f aca="false">AB77*Inputs!$C$8</f>
        <v>81039.9298902555</v>
      </c>
      <c r="AD77" s="31" t="n">
        <f aca="false">AB77*Inputs!$C$5</f>
        <v>31837.1153140289</v>
      </c>
      <c r="AE77" s="45" t="n">
        <f aca="false">RANK(AB77,$AB$7:$AB$82,1)</f>
        <v>49</v>
      </c>
      <c r="AF77" s="41" t="n">
        <v>86.4</v>
      </c>
      <c r="AG77" s="41" t="n">
        <v>43.1</v>
      </c>
      <c r="AH77" s="46" t="n">
        <v>56.7</v>
      </c>
      <c r="AI77" s="38" t="s">
        <v>193</v>
      </c>
      <c r="AJ77" s="47" t="n">
        <f aca="false">MIN(G77,G77*Depreciation!$E$33*F77)</f>
        <v>8212.53925718577</v>
      </c>
      <c r="AK77" s="48" t="n">
        <f aca="false">IFERROR((G77-AJ77)/(2*Inputs!$C$5),0)</f>
        <v>0.198067824934675</v>
      </c>
    </row>
    <row r="78" customFormat="false" ht="25.5" hidden="false" customHeight="true" outlineLevel="0" collapsed="false">
      <c r="A78" s="35" t="s">
        <v>397</v>
      </c>
      <c r="B78" s="35" t="s">
        <v>245</v>
      </c>
      <c r="C78" s="37" t="s">
        <v>185</v>
      </c>
      <c r="D78" s="24" t="n">
        <v>0.424</v>
      </c>
      <c r="E78" s="38" t="s">
        <v>198</v>
      </c>
      <c r="F78" s="39" t="n">
        <f aca="false">(1-D78)/(1-Inputs!$C$54)</f>
        <v>0.989690721649485</v>
      </c>
      <c r="G78" s="40" t="n">
        <v>28500</v>
      </c>
      <c r="H78" s="41" t="n">
        <v>25</v>
      </c>
      <c r="I78" s="42" t="s">
        <v>187</v>
      </c>
      <c r="J78" s="42" t="s">
        <v>188</v>
      </c>
      <c r="K78" s="42" t="s">
        <v>398</v>
      </c>
      <c r="L78" s="42" t="s">
        <v>399</v>
      </c>
      <c r="M78" s="38" t="s">
        <v>191</v>
      </c>
      <c r="N78" s="43" t="s">
        <v>400</v>
      </c>
      <c r="O78" s="31" t="n">
        <f aca="false">MIN(G78,G78*Depreciation!$C$23*F78)</f>
        <v>7228.61336792517</v>
      </c>
      <c r="P78" s="31" t="n">
        <f aca="false">G78-O78</f>
        <v>21271.3866320748</v>
      </c>
      <c r="Q78" s="22" t="n">
        <f aca="false">IFERROR(P78/Inputs!$C$8,0)</f>
        <v>0.151938475943392</v>
      </c>
      <c r="R78" s="22" t="n">
        <f aca="false">IFERROR(IF(I78="Diesel",Inputs!$C$14,Inputs!$C$13)/H78,0)</f>
        <v>0.142</v>
      </c>
      <c r="S78" s="22" t="n">
        <f aca="false">IFERROR(IF(J78="Truck",Inputs!$C$16,Inputs!$C$15)/Inputs!$C$17,0)</f>
        <v>0.0236363636363636</v>
      </c>
      <c r="T78" s="22" t="n">
        <f aca="false">Inputs!$C$18</f>
        <v>0.08</v>
      </c>
      <c r="U78" s="22" t="n">
        <f aca="false">Inputs!$C$29</f>
        <v>0.0557142857142857</v>
      </c>
      <c r="V78" s="22" t="n">
        <f aca="false">IFERROR(Inputs!$C$19/Inputs!$C$5,0)</f>
        <v>0.0290909090909091</v>
      </c>
      <c r="W78" s="22" t="n">
        <f aca="false">IFERROR(Inputs!$C$20/Inputs!$C$5,0)</f>
        <v>0.00818181818181818</v>
      </c>
      <c r="X78" s="22" t="n">
        <f aca="false">IFERROR(G78*Inputs!$C$46/Inputs!$C$8,0)</f>
        <v>0.01425</v>
      </c>
      <c r="Y78" s="22" t="n">
        <f aca="false">IFERROR((G78+O78)/2*Inputs!$C$33*Inputs!$C$9/Inputs!$C$8,0)</f>
        <v>0.0146162509232421</v>
      </c>
      <c r="Z78" s="22" t="n">
        <f aca="false">IFERROR((G78*(1-Inputs!$C$35)*Inputs!$C$36*Inputs!$C$34*Inputs!$C$9+G78*Inputs!$C$35*Inputs!$C$33*Inputs!$C$9)/Inputs!$C$8,0)</f>
        <v>0.0194836363636364</v>
      </c>
      <c r="AA78" s="22" t="n">
        <f aca="false">IF(Inputs!$C$32="Cash",Y78,Z78)</f>
        <v>0.0146162509232421</v>
      </c>
      <c r="AB78" s="44" t="n">
        <f aca="false">Q78+R78+S78+T78+U78+V78+W78+X78+AA78</f>
        <v>0.519428103490011</v>
      </c>
      <c r="AC78" s="31" t="n">
        <f aca="false">AB78*Inputs!$C$8</f>
        <v>72719.9344886015</v>
      </c>
      <c r="AD78" s="31" t="n">
        <f aca="false">AB78*Inputs!$C$5</f>
        <v>28568.5456919506</v>
      </c>
      <c r="AE78" s="45" t="n">
        <f aca="false">RANK(AB78,$AB$7:$AB$82,1)</f>
        <v>26</v>
      </c>
      <c r="AF78" s="41" t="n">
        <v>89.4</v>
      </c>
      <c r="AG78" s="41" t="n">
        <v>40.3</v>
      </c>
      <c r="AH78" s="46" t="n">
        <v>57</v>
      </c>
      <c r="AI78" s="38" t="s">
        <v>193</v>
      </c>
      <c r="AJ78" s="47" t="n">
        <f aca="false">MIN(G78,G78*Depreciation!$E$33*F78)</f>
        <v>8658.7697139346</v>
      </c>
      <c r="AK78" s="48" t="n">
        <f aca="false">IFERROR((G78-AJ78)/(2*Inputs!$C$5),0)</f>
        <v>0.180374820782413</v>
      </c>
    </row>
    <row r="79" customFormat="false" ht="25.5" hidden="false" customHeight="true" outlineLevel="0" collapsed="false">
      <c r="A79" s="35" t="s">
        <v>401</v>
      </c>
      <c r="B79" s="35" t="s">
        <v>402</v>
      </c>
      <c r="C79" s="37" t="s">
        <v>185</v>
      </c>
      <c r="D79" s="24" t="n">
        <v>0.34</v>
      </c>
      <c r="E79" s="38" t="s">
        <v>225</v>
      </c>
      <c r="F79" s="39" t="n">
        <f aca="false">(1-D79)/(1-Inputs!$C$54)</f>
        <v>1.1340206185567</v>
      </c>
      <c r="G79" s="40" t="n">
        <v>25000</v>
      </c>
      <c r="H79" s="41" t="n">
        <v>30</v>
      </c>
      <c r="I79" s="42" t="s">
        <v>268</v>
      </c>
      <c r="J79" s="42" t="s">
        <v>232</v>
      </c>
      <c r="K79" s="42" t="s">
        <v>403</v>
      </c>
      <c r="L79" s="42" t="s">
        <v>226</v>
      </c>
      <c r="M79" s="38" t="s">
        <v>227</v>
      </c>
      <c r="N79" s="43" t="s">
        <v>404</v>
      </c>
      <c r="O79" s="31" t="n">
        <f aca="false">MIN(G79,G79*Depreciation!$C$23*F79)</f>
        <v>7265.60188662069</v>
      </c>
      <c r="P79" s="31" t="n">
        <f aca="false">G79-O79</f>
        <v>17734.3981133793</v>
      </c>
      <c r="Q79" s="22" t="n">
        <f aca="false">IFERROR(P79/Inputs!$C$8,0)</f>
        <v>0.126674272238424</v>
      </c>
      <c r="R79" s="22" t="n">
        <f aca="false">IFERROR(IF(I79="Diesel",Inputs!$C$14,Inputs!$C$13)/H79,0)</f>
        <v>0.118333333333333</v>
      </c>
      <c r="S79" s="22" t="n">
        <f aca="false">IFERROR(IF(J79="Truck",Inputs!$C$16,Inputs!$C$15)/Inputs!$C$17,0)</f>
        <v>0.0163636363636364</v>
      </c>
      <c r="T79" s="22" t="n">
        <f aca="false">Inputs!$C$18</f>
        <v>0.08</v>
      </c>
      <c r="U79" s="22" t="n">
        <f aca="false">Inputs!$C$29</f>
        <v>0.0557142857142857</v>
      </c>
      <c r="V79" s="22" t="n">
        <f aca="false">IFERROR(Inputs!$C$19/Inputs!$C$5,0)</f>
        <v>0.0290909090909091</v>
      </c>
      <c r="W79" s="22" t="n">
        <f aca="false">IFERROR(Inputs!$C$20/Inputs!$C$5,0)</f>
        <v>0.00818181818181818</v>
      </c>
      <c r="X79" s="22" t="n">
        <f aca="false">IFERROR(G79*Inputs!$C$46/Inputs!$C$8,0)</f>
        <v>0.0125</v>
      </c>
      <c r="Y79" s="22" t="n">
        <f aca="false">IFERROR((G79+O79)/2*Inputs!$C$33*Inputs!$C$9/Inputs!$C$8,0)</f>
        <v>0.013199564408163</v>
      </c>
      <c r="Z79" s="22" t="n">
        <f aca="false">IFERROR((G79*(1-Inputs!$C$35)*Inputs!$C$36*Inputs!$C$34*Inputs!$C$9+G79*Inputs!$C$35*Inputs!$C$33*Inputs!$C$9)/Inputs!$C$8,0)</f>
        <v>0.0170909090909091</v>
      </c>
      <c r="AA79" s="22" t="n">
        <f aca="false">IF(Inputs!$C$32="Cash",Y79,Z79)</f>
        <v>0.013199564408163</v>
      </c>
      <c r="AB79" s="44" t="n">
        <f aca="false">Q79+R79+S79+T79+U79+V79+W79+X79+AA79</f>
        <v>0.460057819330569</v>
      </c>
      <c r="AC79" s="31" t="n">
        <f aca="false">AB79*Inputs!$C$8</f>
        <v>64408.0947062797</v>
      </c>
      <c r="AD79" s="31" t="n">
        <f aca="false">AB79*Inputs!$C$5</f>
        <v>25303.1800631813</v>
      </c>
      <c r="AE79" s="45" t="n">
        <f aca="false">RANK(AB79,$AB$7:$AB$82,1)</f>
        <v>10</v>
      </c>
      <c r="AF79" s="41" t="n">
        <v>72.7</v>
      </c>
      <c r="AG79" s="41" t="n">
        <v>31.7</v>
      </c>
      <c r="AH79" s="46" t="n">
        <v>57.6</v>
      </c>
      <c r="AI79" s="38" t="s">
        <v>193</v>
      </c>
      <c r="AJ79" s="47" t="n">
        <f aca="false">MIN(G79,G79*Depreciation!$E$33*F79)</f>
        <v>8703.07628410823</v>
      </c>
      <c r="AK79" s="48" t="n">
        <f aca="false">IFERROR((G79-AJ79)/(2*Inputs!$C$5),0)</f>
        <v>0.148153851962652</v>
      </c>
    </row>
    <row r="80" customFormat="false" ht="25.5" hidden="false" customHeight="true" outlineLevel="0" collapsed="false">
      <c r="A80" s="35" t="s">
        <v>405</v>
      </c>
      <c r="B80" s="35" t="s">
        <v>402</v>
      </c>
      <c r="C80" s="49" t="s">
        <v>208</v>
      </c>
      <c r="D80" s="24" t="n">
        <v>0.34</v>
      </c>
      <c r="E80" s="38" t="s">
        <v>225</v>
      </c>
      <c r="F80" s="39" t="n">
        <f aca="false">(1-D80)/(1-Inputs!$C$54)</f>
        <v>1.1340206185567</v>
      </c>
      <c r="G80" s="40" t="n">
        <v>25000</v>
      </c>
      <c r="H80" s="41" t="n">
        <v>26</v>
      </c>
      <c r="I80" s="42" t="s">
        <v>187</v>
      </c>
      <c r="J80" s="42" t="s">
        <v>232</v>
      </c>
      <c r="K80" s="42" t="s">
        <v>403</v>
      </c>
      <c r="L80" s="42" t="s">
        <v>226</v>
      </c>
      <c r="M80" s="38" t="s">
        <v>227</v>
      </c>
      <c r="N80" s="43" t="s">
        <v>406</v>
      </c>
      <c r="O80" s="31" t="n">
        <f aca="false">MIN(G80,G80*Depreciation!$C$23*F80)</f>
        <v>7265.60188662069</v>
      </c>
      <c r="P80" s="31" t="n">
        <f aca="false">G80-O80</f>
        <v>17734.3981133793</v>
      </c>
      <c r="Q80" s="22" t="n">
        <f aca="false">IFERROR(P80/Inputs!$C$8,0)</f>
        <v>0.126674272238424</v>
      </c>
      <c r="R80" s="22" t="n">
        <f aca="false">IFERROR(IF(I80="Diesel",Inputs!$C$14,Inputs!$C$13)/H80,0)</f>
        <v>0.136538461538462</v>
      </c>
      <c r="S80" s="22" t="n">
        <f aca="false">IFERROR(IF(J80="Truck",Inputs!$C$16,Inputs!$C$15)/Inputs!$C$17,0)</f>
        <v>0.0163636363636364</v>
      </c>
      <c r="T80" s="22" t="n">
        <f aca="false">Inputs!$C$18</f>
        <v>0.08</v>
      </c>
      <c r="U80" s="22" t="n">
        <f aca="false">Inputs!$C$29</f>
        <v>0.0557142857142857</v>
      </c>
      <c r="V80" s="22" t="n">
        <f aca="false">IFERROR(Inputs!$C$19/Inputs!$C$5,0)</f>
        <v>0.0290909090909091</v>
      </c>
      <c r="W80" s="22" t="n">
        <f aca="false">IFERROR(Inputs!$C$20/Inputs!$C$5,0)</f>
        <v>0.00818181818181818</v>
      </c>
      <c r="X80" s="22" t="n">
        <f aca="false">IFERROR(G80*Inputs!$C$46/Inputs!$C$8,0)</f>
        <v>0.0125</v>
      </c>
      <c r="Y80" s="22" t="n">
        <f aca="false">IFERROR((G80+O80)/2*Inputs!$C$33*Inputs!$C$9/Inputs!$C$8,0)</f>
        <v>0.013199564408163</v>
      </c>
      <c r="Z80" s="22" t="n">
        <f aca="false">IFERROR((G80*(1-Inputs!$C$35)*Inputs!$C$36*Inputs!$C$34*Inputs!$C$9+G80*Inputs!$C$35*Inputs!$C$33*Inputs!$C$9)/Inputs!$C$8,0)</f>
        <v>0.0170909090909091</v>
      </c>
      <c r="AA80" s="22" t="n">
        <f aca="false">IF(Inputs!$C$32="Cash",Y80,Z80)</f>
        <v>0.013199564408163</v>
      </c>
      <c r="AB80" s="44" t="n">
        <f aca="false">Q80+R80+S80+T80+U80+V80+W80+X80+AA80</f>
        <v>0.478262947535698</v>
      </c>
      <c r="AC80" s="31" t="n">
        <f aca="false">AB80*Inputs!$C$8</f>
        <v>66956.8126549977</v>
      </c>
      <c r="AD80" s="31" t="n">
        <f aca="false">AB80*Inputs!$C$5</f>
        <v>26304.4621144634</v>
      </c>
      <c r="AE80" s="45" t="n">
        <f aca="false">RANK(AB80,$AB$7:$AB$82,1)</f>
        <v>17</v>
      </c>
      <c r="AF80" s="41" t="n">
        <v>72.7</v>
      </c>
      <c r="AG80" s="41" t="n">
        <v>31.7</v>
      </c>
      <c r="AH80" s="46" t="n">
        <v>57.6</v>
      </c>
      <c r="AI80" s="38" t="s">
        <v>193</v>
      </c>
      <c r="AJ80" s="47" t="n">
        <f aca="false">MIN(G80,G80*Depreciation!$E$33*F80)</f>
        <v>8703.07628410823</v>
      </c>
      <c r="AK80" s="48" t="n">
        <f aca="false">IFERROR((G80-AJ80)/(2*Inputs!$C$5),0)</f>
        <v>0.148153851962652</v>
      </c>
    </row>
    <row r="81" customFormat="false" ht="25.5" hidden="false" customHeight="true" outlineLevel="0" collapsed="false">
      <c r="A81" s="35" t="s">
        <v>407</v>
      </c>
      <c r="B81" s="35" t="s">
        <v>408</v>
      </c>
      <c r="C81" s="49" t="s">
        <v>208</v>
      </c>
      <c r="D81" s="24" t="n">
        <v>0.4</v>
      </c>
      <c r="E81" s="38" t="s">
        <v>225</v>
      </c>
      <c r="F81" s="39" t="n">
        <f aca="false">(1-D81)/(1-Inputs!$C$54)</f>
        <v>1.03092783505155</v>
      </c>
      <c r="G81" s="40" t="n">
        <v>48000</v>
      </c>
      <c r="H81" s="41" t="n">
        <v>16.5</v>
      </c>
      <c r="I81" s="42" t="s">
        <v>187</v>
      </c>
      <c r="J81" s="42" t="s">
        <v>188</v>
      </c>
      <c r="K81" s="42" t="s">
        <v>409</v>
      </c>
      <c r="L81" s="42" t="s">
        <v>410</v>
      </c>
      <c r="M81" s="38" t="s">
        <v>191</v>
      </c>
      <c r="N81" s="43" t="s">
        <v>411</v>
      </c>
      <c r="O81" s="31" t="n">
        <f aca="false">MIN(G81,G81*Depreciation!$C$23*F81)</f>
        <v>12681.7778384652</v>
      </c>
      <c r="P81" s="31" t="n">
        <f aca="false">G81-O81</f>
        <v>35318.2221615348</v>
      </c>
      <c r="Q81" s="22" t="n">
        <f aca="false">IFERROR(P81/Inputs!$C$8,0)</f>
        <v>0.252273015439534</v>
      </c>
      <c r="R81" s="22" t="n">
        <f aca="false">IFERROR(IF(I81="Diesel",Inputs!$C$14,Inputs!$C$13)/H81,0)</f>
        <v>0.215151515151515</v>
      </c>
      <c r="S81" s="22" t="n">
        <f aca="false">IFERROR(IF(J81="Truck",Inputs!$C$16,Inputs!$C$15)/Inputs!$C$17,0)</f>
        <v>0.0236363636363636</v>
      </c>
      <c r="T81" s="22" t="n">
        <f aca="false">Inputs!$C$18</f>
        <v>0.08</v>
      </c>
      <c r="U81" s="22" t="n">
        <f aca="false">Inputs!$C$29</f>
        <v>0.0557142857142857</v>
      </c>
      <c r="V81" s="22" t="n">
        <f aca="false">IFERROR(Inputs!$C$19/Inputs!$C$5,0)</f>
        <v>0.0290909090909091</v>
      </c>
      <c r="W81" s="22" t="n">
        <f aca="false">IFERROR(Inputs!$C$20/Inputs!$C$5,0)</f>
        <v>0.00818181818181818</v>
      </c>
      <c r="X81" s="22" t="n">
        <f aca="false">IFERROR(G81*Inputs!$C$46/Inputs!$C$8,0)</f>
        <v>0.024</v>
      </c>
      <c r="Y81" s="22" t="n">
        <f aca="false">IFERROR((G81+O81)/2*Inputs!$C$33*Inputs!$C$9/Inputs!$C$8,0)</f>
        <v>0.0248243636611903</v>
      </c>
      <c r="Z81" s="22" t="n">
        <f aca="false">IFERROR((G81*(1-Inputs!$C$35)*Inputs!$C$36*Inputs!$C$34*Inputs!$C$9+G81*Inputs!$C$35*Inputs!$C$33*Inputs!$C$9)/Inputs!$C$8,0)</f>
        <v>0.0328145454545455</v>
      </c>
      <c r="AA81" s="22" t="n">
        <f aca="false">IF(Inputs!$C$32="Cash",Y81,Z81)</f>
        <v>0.0248243636611903</v>
      </c>
      <c r="AB81" s="44" t="n">
        <f aca="false">Q81+R81+S81+T81+U81+V81+W81+X81+AA81</f>
        <v>0.712872270875616</v>
      </c>
      <c r="AC81" s="31" t="n">
        <f aca="false">AB81*Inputs!$C$8</f>
        <v>99802.1179225863</v>
      </c>
      <c r="AD81" s="31" t="n">
        <f aca="false">AB81*Inputs!$C$5</f>
        <v>39207.9748981589</v>
      </c>
      <c r="AE81" s="45" t="n">
        <f aca="false">RANK(AB81,$AB$7:$AB$82,1)</f>
        <v>72</v>
      </c>
      <c r="AF81" s="41" t="n">
        <v>64.7</v>
      </c>
      <c r="AG81" s="41" t="n">
        <v>31</v>
      </c>
      <c r="AH81" s="46" t="n">
        <v>58</v>
      </c>
      <c r="AI81" s="51" t="s">
        <v>234</v>
      </c>
      <c r="AJ81" s="47" t="n">
        <f aca="false">MIN(G81,G81*Depreciation!$E$33*F81)</f>
        <v>15190.8240595344</v>
      </c>
      <c r="AK81" s="48" t="n">
        <f aca="false">IFERROR((G81-AJ81)/(2*Inputs!$C$5),0)</f>
        <v>0.298265235822415</v>
      </c>
    </row>
    <row r="82" customFormat="false" ht="25.5" hidden="false" customHeight="true" outlineLevel="0" collapsed="false">
      <c r="A82" s="35" t="s">
        <v>412</v>
      </c>
      <c r="B82" s="35" t="s">
        <v>408</v>
      </c>
      <c r="C82" s="49" t="s">
        <v>208</v>
      </c>
      <c r="D82" s="24" t="n">
        <v>0.4</v>
      </c>
      <c r="E82" s="38" t="s">
        <v>225</v>
      </c>
      <c r="F82" s="39" t="n">
        <f aca="false">(1-D82)/(1-Inputs!$C$54)</f>
        <v>1.03092783505155</v>
      </c>
      <c r="G82" s="40" t="n">
        <v>52000</v>
      </c>
      <c r="H82" s="41" t="n">
        <v>19</v>
      </c>
      <c r="I82" s="42" t="s">
        <v>195</v>
      </c>
      <c r="J82" s="42" t="s">
        <v>188</v>
      </c>
      <c r="K82" s="42" t="s">
        <v>409</v>
      </c>
      <c r="L82" s="42" t="s">
        <v>413</v>
      </c>
      <c r="M82" s="38" t="s">
        <v>191</v>
      </c>
      <c r="N82" s="43" t="s">
        <v>414</v>
      </c>
      <c r="O82" s="31" t="n">
        <f aca="false">MIN(G82,G82*Depreciation!$C$23*F82)</f>
        <v>13738.5926583373</v>
      </c>
      <c r="P82" s="31" t="n">
        <f aca="false">G82-O82</f>
        <v>38261.4073416627</v>
      </c>
      <c r="Q82" s="22" t="n">
        <f aca="false">IFERROR(P82/Inputs!$C$8,0)</f>
        <v>0.273295766726162</v>
      </c>
      <c r="R82" s="22" t="n">
        <f aca="false">IFERROR(IF(I82="Diesel",Inputs!$C$14,Inputs!$C$13)/H82,0)</f>
        <v>0.281578947368421</v>
      </c>
      <c r="S82" s="22" t="n">
        <f aca="false">IFERROR(IF(J82="Truck",Inputs!$C$16,Inputs!$C$15)/Inputs!$C$17,0)</f>
        <v>0.0236363636363636</v>
      </c>
      <c r="T82" s="22" t="n">
        <f aca="false">Inputs!$C$18</f>
        <v>0.08</v>
      </c>
      <c r="U82" s="22" t="n">
        <f aca="false">Inputs!$C$29</f>
        <v>0.0557142857142857</v>
      </c>
      <c r="V82" s="22" t="n">
        <f aca="false">IFERROR(Inputs!$C$19/Inputs!$C$5,0)</f>
        <v>0.0290909090909091</v>
      </c>
      <c r="W82" s="22" t="n">
        <f aca="false">IFERROR(Inputs!$C$20/Inputs!$C$5,0)</f>
        <v>0.00818181818181818</v>
      </c>
      <c r="X82" s="22" t="n">
        <f aca="false">IFERROR(G82*Inputs!$C$46/Inputs!$C$8,0)</f>
        <v>0.026</v>
      </c>
      <c r="Y82" s="22" t="n">
        <f aca="false">IFERROR((G82+O82)/2*Inputs!$C$33*Inputs!$C$9/Inputs!$C$8,0)</f>
        <v>0.0268930606329562</v>
      </c>
      <c r="Z82" s="22" t="n">
        <f aca="false">IFERROR((G82*(1-Inputs!$C$35)*Inputs!$C$36*Inputs!$C$34*Inputs!$C$9+G82*Inputs!$C$35*Inputs!$C$33*Inputs!$C$9)/Inputs!$C$8,0)</f>
        <v>0.0355490909090909</v>
      </c>
      <c r="AA82" s="22" t="n">
        <f aca="false">IF(Inputs!$C$32="Cash",Y82,Z82)</f>
        <v>0.0268930606329562</v>
      </c>
      <c r="AB82" s="44" t="n">
        <f aca="false">Q82+R82+S82+T82+U82+V82+W82+X82+AA82</f>
        <v>0.804391151350916</v>
      </c>
      <c r="AC82" s="31" t="n">
        <f aca="false">AB82*Inputs!$C$8</f>
        <v>112614.761189128</v>
      </c>
      <c r="AD82" s="31" t="n">
        <f aca="false">AB82*Inputs!$C$5</f>
        <v>44241.5133243004</v>
      </c>
      <c r="AE82" s="45" t="n">
        <f aca="false">RANK(AB82,$AB$7:$AB$82,1)</f>
        <v>75</v>
      </c>
      <c r="AF82" s="41" t="n">
        <v>33.4</v>
      </c>
      <c r="AG82" s="41" t="n">
        <v>32.9</v>
      </c>
      <c r="AH82" s="46" t="n">
        <v>57.8</v>
      </c>
      <c r="AI82" s="38" t="s">
        <v>193</v>
      </c>
      <c r="AJ82" s="47" t="n">
        <f aca="false">MIN(G82,G82*Depreciation!$E$33*F82)</f>
        <v>16456.7260644956</v>
      </c>
      <c r="AK82" s="48" t="n">
        <f aca="false">IFERROR((G82-AJ82)/(2*Inputs!$C$5),0)</f>
        <v>0.323120672140949</v>
      </c>
    </row>
    <row r="84" customFormat="false" ht="15" hidden="false" customHeight="false" outlineLevel="0" collapsed="false">
      <c r="A84" s="52" t="s">
        <v>415</v>
      </c>
    </row>
    <row r="85" customFormat="false" ht="27.75" hidden="false" customHeight="true" outlineLevel="0" collapsed="false">
      <c r="A85" s="53" t="s">
        <v>185</v>
      </c>
      <c r="B85" s="54" t="s">
        <v>416</v>
      </c>
      <c r="C85" s="54"/>
      <c r="D85" s="54"/>
      <c r="E85" s="54"/>
      <c r="F85" s="54"/>
      <c r="G85" s="54"/>
      <c r="H85" s="54"/>
      <c r="I85" s="54"/>
      <c r="J85" s="54"/>
      <c r="K85" s="54"/>
      <c r="L85" s="54"/>
      <c r="M85" s="54"/>
      <c r="N85" s="54"/>
    </row>
    <row r="86" customFormat="false" ht="27.75" hidden="false" customHeight="true" outlineLevel="0" collapsed="false">
      <c r="A86" s="55" t="s">
        <v>208</v>
      </c>
      <c r="B86" s="54" t="s">
        <v>417</v>
      </c>
      <c r="C86" s="54"/>
      <c r="D86" s="54"/>
      <c r="E86" s="54"/>
      <c r="F86" s="54"/>
      <c r="G86" s="54"/>
      <c r="H86" s="54"/>
      <c r="I86" s="54"/>
      <c r="J86" s="54"/>
      <c r="K86" s="54"/>
      <c r="L86" s="54"/>
      <c r="M86" s="54"/>
      <c r="N86" s="54"/>
    </row>
    <row r="87" customFormat="false" ht="27.75" hidden="false" customHeight="true" outlineLevel="0" collapsed="false">
      <c r="A87" s="56" t="s">
        <v>220</v>
      </c>
      <c r="B87" s="54" t="s">
        <v>418</v>
      </c>
      <c r="C87" s="54"/>
      <c r="D87" s="54"/>
      <c r="E87" s="54"/>
      <c r="F87" s="54"/>
      <c r="G87" s="54"/>
      <c r="H87" s="54"/>
      <c r="I87" s="54"/>
      <c r="J87" s="54"/>
      <c r="K87" s="54"/>
      <c r="L87" s="54"/>
      <c r="M87" s="54"/>
      <c r="N87" s="54"/>
    </row>
    <row r="89" customFormat="false" ht="57.75" hidden="false" customHeight="true" outlineLevel="0" collapsed="false">
      <c r="A89" s="57" t="s">
        <v>419</v>
      </c>
      <c r="B89" s="57"/>
      <c r="C89" s="57"/>
      <c r="D89" s="57"/>
      <c r="E89" s="57"/>
      <c r="F89" s="57"/>
      <c r="G89" s="57"/>
      <c r="H89" s="57"/>
      <c r="I89" s="57"/>
      <c r="J89" s="57"/>
      <c r="K89" s="57"/>
      <c r="L89" s="57"/>
      <c r="M89" s="57"/>
      <c r="N89" s="57"/>
    </row>
    <row r="90" customFormat="false" ht="57.75" hidden="false" customHeight="true" outlineLevel="0" collapsed="false">
      <c r="A90" s="57" t="s">
        <v>420</v>
      </c>
      <c r="B90" s="57"/>
      <c r="C90" s="57"/>
      <c r="D90" s="57"/>
      <c r="E90" s="57"/>
      <c r="F90" s="57"/>
      <c r="G90" s="57"/>
      <c r="H90" s="57"/>
      <c r="I90" s="57"/>
      <c r="J90" s="57"/>
      <c r="K90" s="57"/>
      <c r="L90" s="57"/>
      <c r="M90" s="57"/>
      <c r="N90" s="57"/>
    </row>
    <row r="91" customFormat="false" ht="57.75" hidden="false" customHeight="true" outlineLevel="0" collapsed="false">
      <c r="A91" s="57" t="s">
        <v>421</v>
      </c>
      <c r="B91" s="57"/>
      <c r="C91" s="57"/>
      <c r="D91" s="57"/>
      <c r="E91" s="57"/>
      <c r="F91" s="57"/>
      <c r="G91" s="57"/>
      <c r="H91" s="57"/>
      <c r="I91" s="57"/>
      <c r="J91" s="57"/>
      <c r="K91" s="57"/>
      <c r="L91" s="57"/>
      <c r="M91" s="57"/>
      <c r="N91" s="57"/>
    </row>
    <row r="92" customFormat="false" ht="57.75" hidden="false" customHeight="true" outlineLevel="0" collapsed="false">
      <c r="A92" s="57" t="s">
        <v>422</v>
      </c>
      <c r="B92" s="57"/>
      <c r="C92" s="57"/>
      <c r="D92" s="57"/>
      <c r="E92" s="57"/>
      <c r="F92" s="57"/>
      <c r="G92" s="57"/>
      <c r="H92" s="57"/>
      <c r="I92" s="57"/>
      <c r="J92" s="57"/>
      <c r="K92" s="57"/>
      <c r="L92" s="57"/>
      <c r="M92" s="57"/>
      <c r="N92" s="57"/>
    </row>
    <row r="93" customFormat="false" ht="57.75" hidden="false" customHeight="true" outlineLevel="0" collapsed="false">
      <c r="A93" s="57" t="s">
        <v>423</v>
      </c>
      <c r="B93" s="57"/>
      <c r="C93" s="57"/>
      <c r="D93" s="57"/>
      <c r="E93" s="57"/>
      <c r="F93" s="57"/>
      <c r="G93" s="57"/>
      <c r="H93" s="57"/>
      <c r="I93" s="57"/>
      <c r="J93" s="57"/>
      <c r="K93" s="57"/>
      <c r="L93" s="57"/>
      <c r="M93" s="57"/>
      <c r="N93" s="57"/>
    </row>
    <row r="94" customFormat="false" ht="57.75" hidden="false" customHeight="true" outlineLevel="0" collapsed="false">
      <c r="A94" s="57" t="s">
        <v>424</v>
      </c>
      <c r="B94" s="57"/>
      <c r="C94" s="57"/>
      <c r="D94" s="57"/>
      <c r="E94" s="57"/>
      <c r="F94" s="57"/>
      <c r="G94" s="57"/>
      <c r="H94" s="57"/>
      <c r="I94" s="57"/>
      <c r="J94" s="57"/>
      <c r="K94" s="57"/>
      <c r="L94" s="57"/>
      <c r="M94" s="57"/>
      <c r="N94" s="57"/>
    </row>
  </sheetData>
  <autoFilter ref="A6:AK82"/>
  <mergeCells count="9">
    <mergeCell ref="B85:N85"/>
    <mergeCell ref="B86:N86"/>
    <mergeCell ref="B87:N87"/>
    <mergeCell ref="A89:N89"/>
    <mergeCell ref="A90:N90"/>
    <mergeCell ref="A91:N91"/>
    <mergeCell ref="A92:N92"/>
    <mergeCell ref="A93:N93"/>
    <mergeCell ref="A94:N9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10"/>
    <col collapsed="false" customWidth="true" hidden="false" outlineLevel="0" max="4" min="4" style="0" width="13"/>
    <col collapsed="false" customWidth="true" hidden="false" outlineLevel="0" max="5" min="5" style="0" width="11"/>
    <col collapsed="false" customWidth="true" hidden="false" outlineLevel="0" max="6" min="6" style="0" width="8"/>
    <col collapsed="false" customWidth="true" hidden="false" outlineLevel="0" max="8" min="7" style="0" width="9"/>
    <col collapsed="false" customWidth="true" hidden="false" outlineLevel="0" max="11" min="9" style="0" width="12"/>
    <col collapsed="false" customWidth="true" hidden="false" outlineLevel="0" max="12" min="12" style="0" width="10"/>
    <col collapsed="false" customWidth="true" hidden="false" outlineLevel="0" max="13" min="13" style="0" width="11"/>
    <col collapsed="false" customWidth="true" hidden="false" outlineLevel="0" max="14" min="14" style="0" width="10"/>
    <col collapsed="false" customWidth="true" hidden="false" outlineLevel="0" max="15" min="15" style="0" width="11"/>
    <col collapsed="false" customWidth="true" hidden="false" outlineLevel="0" max="18" min="16" style="0" width="10"/>
    <col collapsed="false" customWidth="true" hidden="false" outlineLevel="0" max="22" min="19" style="0" width="12"/>
    <col collapsed="false" customWidth="true" hidden="false" outlineLevel="0" max="23" min="23" style="0" width="14"/>
  </cols>
  <sheetData>
    <row r="1" customFormat="false" ht="17.35" hidden="false" customHeight="false" outlineLevel="0" collapsed="false">
      <c r="A1" s="1" t="s">
        <v>425</v>
      </c>
    </row>
    <row r="2" customFormat="false" ht="15" hidden="false" customHeight="false" outlineLevel="0" collapsed="false">
      <c r="A2" s="2" t="s">
        <v>426</v>
      </c>
    </row>
    <row r="4" customFormat="false" ht="33.75" hidden="false" customHeight="true" outlineLevel="0" collapsed="false">
      <c r="A4" s="36" t="s">
        <v>427</v>
      </c>
      <c r="B4" s="36" t="s">
        <v>428</v>
      </c>
      <c r="C4" s="36" t="s">
        <v>429</v>
      </c>
      <c r="D4" s="36" t="s">
        <v>152</v>
      </c>
      <c r="E4" s="36" t="s">
        <v>430</v>
      </c>
      <c r="F4" s="36" t="s">
        <v>431</v>
      </c>
      <c r="G4" s="36" t="s">
        <v>432</v>
      </c>
      <c r="H4" s="36" t="s">
        <v>433</v>
      </c>
      <c r="I4" s="36" t="s">
        <v>160</v>
      </c>
      <c r="J4" s="36" t="s">
        <v>161</v>
      </c>
      <c r="K4" s="36" t="s">
        <v>162</v>
      </c>
      <c r="L4" s="36" t="s">
        <v>434</v>
      </c>
      <c r="M4" s="36" t="s">
        <v>435</v>
      </c>
      <c r="N4" s="36" t="s">
        <v>436</v>
      </c>
      <c r="O4" s="36" t="s">
        <v>437</v>
      </c>
      <c r="P4" s="36" t="s">
        <v>163</v>
      </c>
      <c r="Q4" s="36" t="s">
        <v>164</v>
      </c>
      <c r="R4" s="36" t="s">
        <v>438</v>
      </c>
      <c r="S4" s="36" t="s">
        <v>439</v>
      </c>
      <c r="T4" s="36" t="s">
        <v>169</v>
      </c>
      <c r="U4" s="36" t="s">
        <v>440</v>
      </c>
      <c r="V4" s="36" t="s">
        <v>173</v>
      </c>
      <c r="W4" s="36" t="s">
        <v>175</v>
      </c>
    </row>
    <row r="5" customFormat="false" ht="15" hidden="false" customHeight="false" outlineLevel="0" collapsed="false">
      <c r="A5" s="35" t="s">
        <v>441</v>
      </c>
      <c r="B5" s="13" t="n">
        <v>40000</v>
      </c>
      <c r="C5" s="13" t="n">
        <v>150000</v>
      </c>
      <c r="D5" s="40" t="n">
        <v>26000</v>
      </c>
      <c r="E5" s="15" t="n">
        <f aca="false">C5-B5</f>
        <v>110000</v>
      </c>
      <c r="F5" s="16" t="n">
        <f aca="false">IFERROR(E5/Inputs!$C$5,0)</f>
        <v>2</v>
      </c>
      <c r="G5" s="30" t="n">
        <f aca="false">IFERROR(INDEX(Depreciation!$D$5:$D$14,MATCH(B5,Depreciation!$B$5:$B$14,1))+(B5-INDEX(Depreciation!$B$5:$B$14,MATCH(B5,Depreciation!$B$5:$B$14,1)))/(INDEX(Depreciation!$B$5:$B$14,MATCH(B5,Depreciation!$B$5:$B$14,1)+1)-INDEX(Depreciation!$B$5:$B$14,MATCH(B5,Depreciation!$B$5:$B$14,1)))*(INDEX(Depreciation!$D$5:$D$14,MATCH(B5,Depreciation!$B$5:$B$14,1)+1)-INDEX(Depreciation!$D$5:$D$14,MATCH(B5,Depreciation!$B$5:$B$14,1))),INDEX(Depreciation!$D$5:$D$14,MATCH(B5,Depreciation!$B$5:$B$14,1)))</f>
        <v>0.828342857142857</v>
      </c>
      <c r="H5" s="30" t="n">
        <f aca="false">IFERROR(INDEX(Depreciation!$D$5:$D$14,MATCH(C5,Depreciation!$B$5:$B$14,1))+(C5-INDEX(Depreciation!$B$5:$B$14,MATCH(C5,Depreciation!$B$5:$B$14,1)))/(INDEX(Depreciation!$B$5:$B$14,MATCH(C5,Depreciation!$B$5:$B$14,1)+1)-INDEX(Depreciation!$B$5:$B$14,MATCH(C5,Depreciation!$B$5:$B$14,1)))*(INDEX(Depreciation!$D$5:$D$14,MATCH(C5,Depreciation!$B$5:$B$14,1)+1)-INDEX(Depreciation!$D$5:$D$14,MATCH(C5,Depreciation!$B$5:$B$14,1))),INDEX(Depreciation!$D$5:$D$14,MATCH(C5,Depreciation!$B$5:$B$14,1)))</f>
        <v>0.254285714285714</v>
      </c>
      <c r="I5" s="31" t="n">
        <f aca="false">IFERROR(MIN(D5,D5*H5/G5),0)</f>
        <v>7981.51214128035</v>
      </c>
      <c r="J5" s="31" t="n">
        <f aca="false">D5-I5</f>
        <v>18018.4878587196</v>
      </c>
      <c r="K5" s="22" t="n">
        <f aca="false">IFERROR(J5/E5,0)</f>
        <v>0.16380443507927</v>
      </c>
      <c r="L5" s="15" t="n">
        <f aca="false">MAX(0,MIN(C5,100000)-B5)</f>
        <v>60000</v>
      </c>
      <c r="M5" s="15" t="n">
        <f aca="false">MAX(0,MIN(C5,150000)-MAX(B5,100000))</f>
        <v>50000</v>
      </c>
      <c r="N5" s="15" t="n">
        <f aca="false">MAX(0,C5-MAX(B5,150000))</f>
        <v>0</v>
      </c>
      <c r="O5" s="22" t="n">
        <f aca="false">IFERROR((L5*Inputs!$C$23+M5*Inputs!$C$24+N5*Inputs!$C$25)/E5,0)</f>
        <v>0.0436363636363636</v>
      </c>
      <c r="P5" s="22" t="n">
        <f aca="false">IFERROR(Inputs!$C$13/24,0)</f>
        <v>0.147916666666667</v>
      </c>
      <c r="Q5" s="22" t="n">
        <f aca="false">IFERROR(Inputs!$C$15/Inputs!$C$17,0)</f>
        <v>0.0163636363636364</v>
      </c>
      <c r="R5" s="22" t="n">
        <f aca="false">Inputs!$C$18</f>
        <v>0.08</v>
      </c>
      <c r="S5" s="22" t="n">
        <f aca="false">IFERROR((Inputs!$C$19+Inputs!$C$20)/Inputs!$C$5,0)</f>
        <v>0.0372727272727273</v>
      </c>
      <c r="T5" s="22" t="n">
        <f aca="false">IFERROR(D5*Inputs!$C$46/E5,0)</f>
        <v>0.0165454545454545</v>
      </c>
      <c r="U5" s="22" t="n">
        <f aca="false">IFERROR(IF(Inputs!$C$32="Cash",(D5+I5)/2*Inputs!$C$33*F5,(D5*(1-Inputs!$C$35)*Inputs!$C$36*Inputs!$C$34*F5+D5*Inputs!$C$35*Inputs!$C$33*F5))/E5,0)</f>
        <v>0.0139015276941601</v>
      </c>
      <c r="V5" s="44" t="n">
        <f aca="false">K5+O5+P5+Q5+R5+S5+T5+U5</f>
        <v>0.519440811258278</v>
      </c>
      <c r="W5" s="31" t="n">
        <f aca="false">V5*Inputs!$C$5</f>
        <v>28569.2446192053</v>
      </c>
    </row>
    <row r="6" customFormat="false" ht="15" hidden="false" customHeight="false" outlineLevel="0" collapsed="false">
      <c r="A6" s="35" t="s">
        <v>442</v>
      </c>
      <c r="B6" s="13" t="n">
        <v>40000</v>
      </c>
      <c r="C6" s="13" t="n">
        <v>180000</v>
      </c>
      <c r="D6" s="40" t="n">
        <v>26000</v>
      </c>
      <c r="E6" s="15" t="n">
        <f aca="false">C6-B6</f>
        <v>140000</v>
      </c>
      <c r="F6" s="16" t="n">
        <f aca="false">IFERROR(E6/Inputs!$C$5,0)</f>
        <v>2.54545454545455</v>
      </c>
      <c r="G6" s="30" t="n">
        <f aca="false">IFERROR(INDEX(Depreciation!$D$5:$D$14,MATCH(B6,Depreciation!$B$5:$B$14,1))+(B6-INDEX(Depreciation!$B$5:$B$14,MATCH(B6,Depreciation!$B$5:$B$14,1)))/(INDEX(Depreciation!$B$5:$B$14,MATCH(B6,Depreciation!$B$5:$B$14,1)+1)-INDEX(Depreciation!$B$5:$B$14,MATCH(B6,Depreciation!$B$5:$B$14,1)))*(INDEX(Depreciation!$D$5:$D$14,MATCH(B6,Depreciation!$B$5:$B$14,1)+1)-INDEX(Depreciation!$D$5:$D$14,MATCH(B6,Depreciation!$B$5:$B$14,1))),INDEX(Depreciation!$D$5:$D$14,MATCH(B6,Depreciation!$B$5:$B$14,1)))</f>
        <v>0.828342857142857</v>
      </c>
      <c r="H6" s="30" t="n">
        <f aca="false">IFERROR(INDEX(Depreciation!$D$5:$D$14,MATCH(C6,Depreciation!$B$5:$B$14,1))+(C6-INDEX(Depreciation!$B$5:$B$14,MATCH(C6,Depreciation!$B$5:$B$14,1)))/(INDEX(Depreciation!$B$5:$B$14,MATCH(C6,Depreciation!$B$5:$B$14,1)+1)-INDEX(Depreciation!$B$5:$B$14,MATCH(C6,Depreciation!$B$5:$B$14,1)))*(INDEX(Depreciation!$D$5:$D$14,MATCH(C6,Depreciation!$B$5:$B$14,1)+1)-INDEX(Depreciation!$D$5:$D$14,MATCH(C6,Depreciation!$B$5:$B$14,1))),INDEX(Depreciation!$D$5:$D$14,MATCH(C6,Depreciation!$B$5:$B$14,1)))</f>
        <v>0.212285714285714</v>
      </c>
      <c r="I6" s="31" t="n">
        <f aca="false">IFERROR(MIN(D6,D6*H6/G6),0)</f>
        <v>6663.2174392936</v>
      </c>
      <c r="J6" s="31" t="n">
        <f aca="false">D6-I6</f>
        <v>19336.7825607064</v>
      </c>
      <c r="K6" s="22" t="n">
        <f aca="false">IFERROR(J6/E6,0)</f>
        <v>0.138119875433617</v>
      </c>
      <c r="L6" s="15" t="n">
        <f aca="false">MAX(0,MIN(C6,100000)-B6)</f>
        <v>60000</v>
      </c>
      <c r="M6" s="15" t="n">
        <f aca="false">MAX(0,MIN(C6,150000)-MAX(B6,100000))</f>
        <v>50000</v>
      </c>
      <c r="N6" s="15" t="n">
        <f aca="false">MAX(0,C6-MAX(B6,150000))</f>
        <v>30000</v>
      </c>
      <c r="O6" s="22" t="n">
        <f aca="false">IFERROR((L6*Inputs!$C$23+M6*Inputs!$C$24+N6*Inputs!$C$25)/E6,0)</f>
        <v>0.0557142857142857</v>
      </c>
      <c r="P6" s="22" t="n">
        <f aca="false">IFERROR(Inputs!$C$13/24,0)</f>
        <v>0.147916666666667</v>
      </c>
      <c r="Q6" s="22" t="n">
        <f aca="false">IFERROR(Inputs!$C$15/Inputs!$C$17,0)</f>
        <v>0.0163636363636364</v>
      </c>
      <c r="R6" s="22" t="n">
        <f aca="false">Inputs!$C$18</f>
        <v>0.08</v>
      </c>
      <c r="S6" s="22" t="n">
        <f aca="false">IFERROR((Inputs!$C$19+Inputs!$C$20)/Inputs!$C$5,0)</f>
        <v>0.0372727272727273</v>
      </c>
      <c r="T6" s="22" t="n">
        <f aca="false">IFERROR(D6*Inputs!$C$46/E6,0)</f>
        <v>0.013</v>
      </c>
      <c r="U6" s="22" t="n">
        <f aca="false">IFERROR(IF(Inputs!$C$32="Cash",(D6+I6)/2*Inputs!$C$33*F6,(D6*(1-Inputs!$C$35)*Inputs!$C$36*Inputs!$C$34*F6+D6*Inputs!$C$35*Inputs!$C$33*F6))/E6,0)</f>
        <v>0.0133622253160747</v>
      </c>
      <c r="V6" s="44" t="n">
        <f aca="false">K6+O6+P6+Q6+R6+S6+T6+U6</f>
        <v>0.501749416767008</v>
      </c>
      <c r="W6" s="31" t="n">
        <f aca="false">V6*Inputs!$C$5</f>
        <v>27596.2179221854</v>
      </c>
    </row>
    <row r="7" customFormat="false" ht="15" hidden="false" customHeight="false" outlineLevel="0" collapsed="false">
      <c r="A7" s="35" t="s">
        <v>443</v>
      </c>
      <c r="B7" s="13" t="n">
        <v>70000</v>
      </c>
      <c r="C7" s="13" t="n">
        <v>180000</v>
      </c>
      <c r="D7" s="40" t="n">
        <v>19000</v>
      </c>
      <c r="E7" s="15" t="n">
        <f aca="false">C7-B7</f>
        <v>110000</v>
      </c>
      <c r="F7" s="16" t="n">
        <f aca="false">IFERROR(E7/Inputs!$C$5,0)</f>
        <v>2</v>
      </c>
      <c r="G7" s="30" t="n">
        <f aca="false">IFERROR(INDEX(Depreciation!$D$5:$D$14,MATCH(B7,Depreciation!$B$5:$B$14,1))+(B7-INDEX(Depreciation!$B$5:$B$14,MATCH(B7,Depreciation!$B$5:$B$14,1)))/(INDEX(Depreciation!$B$5:$B$14,MATCH(B7,Depreciation!$B$5:$B$14,1)+1)-INDEX(Depreciation!$B$5:$B$14,MATCH(B7,Depreciation!$B$5:$B$14,1)))*(INDEX(Depreciation!$D$5:$D$14,MATCH(B7,Depreciation!$B$5:$B$14,1)+1)-INDEX(Depreciation!$D$5:$D$14,MATCH(B7,Depreciation!$B$5:$B$14,1))),INDEX(Depreciation!$D$5:$D$14,MATCH(B7,Depreciation!$B$5:$B$14,1)))</f>
        <v>0.582742857142857</v>
      </c>
      <c r="H7" s="30" t="n">
        <f aca="false">IFERROR(INDEX(Depreciation!$D$5:$D$14,MATCH(C7,Depreciation!$B$5:$B$14,1))+(C7-INDEX(Depreciation!$B$5:$B$14,MATCH(C7,Depreciation!$B$5:$B$14,1)))/(INDEX(Depreciation!$B$5:$B$14,MATCH(C7,Depreciation!$B$5:$B$14,1)+1)-INDEX(Depreciation!$B$5:$B$14,MATCH(C7,Depreciation!$B$5:$B$14,1)))*(INDEX(Depreciation!$D$5:$D$14,MATCH(C7,Depreciation!$B$5:$B$14,1)+1)-INDEX(Depreciation!$D$5:$D$14,MATCH(C7,Depreciation!$B$5:$B$14,1))),INDEX(Depreciation!$D$5:$D$14,MATCH(C7,Depreciation!$B$5:$B$14,1)))</f>
        <v>0.212285714285714</v>
      </c>
      <c r="I7" s="31" t="n">
        <f aca="false">IFERROR(MIN(D7,D7*H7/G7),0)</f>
        <v>6921.45518729163</v>
      </c>
      <c r="J7" s="31" t="n">
        <f aca="false">D7-I7</f>
        <v>12078.5448127084</v>
      </c>
      <c r="K7" s="22" t="n">
        <f aca="false">IFERROR(J7/E7,0)</f>
        <v>0.109804952842803</v>
      </c>
      <c r="L7" s="15" t="n">
        <f aca="false">MAX(0,MIN(C7,100000)-B7)</f>
        <v>30000</v>
      </c>
      <c r="M7" s="15" t="n">
        <f aca="false">MAX(0,MIN(C7,150000)-MAX(B7,100000))</f>
        <v>50000</v>
      </c>
      <c r="N7" s="15" t="n">
        <f aca="false">MAX(0,C7-MAX(B7,150000))</f>
        <v>30000</v>
      </c>
      <c r="O7" s="22" t="n">
        <f aca="false">IFERROR((L7*Inputs!$C$23+M7*Inputs!$C$24+N7*Inputs!$C$25)/E7,0)</f>
        <v>0.0627272727272727</v>
      </c>
      <c r="P7" s="22" t="n">
        <f aca="false">IFERROR(Inputs!$C$13/24,0)</f>
        <v>0.147916666666667</v>
      </c>
      <c r="Q7" s="22" t="n">
        <f aca="false">IFERROR(Inputs!$C$15/Inputs!$C$17,0)</f>
        <v>0.0163636363636364</v>
      </c>
      <c r="R7" s="22" t="n">
        <f aca="false">Inputs!$C$18</f>
        <v>0.08</v>
      </c>
      <c r="S7" s="22" t="n">
        <f aca="false">IFERROR((Inputs!$C$19+Inputs!$C$20)/Inputs!$C$5,0)</f>
        <v>0.0372727272727273</v>
      </c>
      <c r="T7" s="22" t="n">
        <f aca="false">IFERROR(D7*Inputs!$C$46/E7,0)</f>
        <v>0.0120909090909091</v>
      </c>
      <c r="U7" s="22" t="n">
        <f aca="false">IFERROR(IF(Inputs!$C$32="Cash",(D7+I7)/2*Inputs!$C$33*F7,(D7*(1-Inputs!$C$35)*Inputs!$C$36*Inputs!$C$34*F7+D7*Inputs!$C$35*Inputs!$C$33*F7))/E7,0)</f>
        <v>0.0106042316675284</v>
      </c>
      <c r="V7" s="44" t="n">
        <f aca="false">K7+O7+P7+Q7+R7+S7+T7+U7</f>
        <v>0.476780396631544</v>
      </c>
      <c r="W7" s="31" t="n">
        <f aca="false">V7*Inputs!$C$5</f>
        <v>26222.9218147349</v>
      </c>
    </row>
    <row r="8" customFormat="false" ht="15" hidden="false" customHeight="false" outlineLevel="0" collapsed="false">
      <c r="A8" s="35" t="s">
        <v>444</v>
      </c>
      <c r="B8" s="13" t="n">
        <v>100000</v>
      </c>
      <c r="C8" s="13" t="n">
        <v>210000</v>
      </c>
      <c r="D8" s="40" t="n">
        <v>11000</v>
      </c>
      <c r="E8" s="15" t="n">
        <f aca="false">C8-B8</f>
        <v>110000</v>
      </c>
      <c r="F8" s="16" t="n">
        <f aca="false">IFERROR(E8/Inputs!$C$5,0)</f>
        <v>2</v>
      </c>
      <c r="G8" s="30" t="n">
        <f aca="false">IFERROR(INDEX(Depreciation!$D$5:$D$14,MATCH(B8,Depreciation!$B$5:$B$14,1))+(B8-INDEX(Depreciation!$B$5:$B$14,MATCH(B8,Depreciation!$B$5:$B$14,1)))/(INDEX(Depreciation!$B$5:$B$14,MATCH(B8,Depreciation!$B$5:$B$14,1)+1)-INDEX(Depreciation!$B$5:$B$14,MATCH(B8,Depreciation!$B$5:$B$14,1)))*(INDEX(Depreciation!$D$5:$D$14,MATCH(B8,Depreciation!$B$5:$B$14,1)+1)-INDEX(Depreciation!$D$5:$D$14,MATCH(B8,Depreciation!$B$5:$B$14,1))),INDEX(Depreciation!$D$5:$D$14,MATCH(B8,Depreciation!$B$5:$B$14,1)))</f>
        <v>0.414285714285714</v>
      </c>
      <c r="H8" s="30" t="n">
        <f aca="false">IFERROR(INDEX(Depreciation!$D$5:$D$14,MATCH(C8,Depreciation!$B$5:$B$14,1))+(C8-INDEX(Depreciation!$B$5:$B$14,MATCH(C8,Depreciation!$B$5:$B$14,1)))/(INDEX(Depreciation!$B$5:$B$14,MATCH(C8,Depreciation!$B$5:$B$14,1)+1)-INDEX(Depreciation!$B$5:$B$14,MATCH(C8,Depreciation!$B$5:$B$14,1)))*(INDEX(Depreciation!$D$5:$D$14,MATCH(C8,Depreciation!$B$5:$B$14,1)+1)-INDEX(Depreciation!$D$5:$D$14,MATCH(C8,Depreciation!$B$5:$B$14,1))),INDEX(Depreciation!$D$5:$D$14,MATCH(C8,Depreciation!$B$5:$B$14,1)))</f>
        <v>0.173142857142857</v>
      </c>
      <c r="I8" s="31" t="n">
        <f aca="false">IFERROR(MIN(D8,D8*H8/G8),0)</f>
        <v>4597.24137931034</v>
      </c>
      <c r="J8" s="31" t="n">
        <f aca="false">D8-I8</f>
        <v>6402.75862068966</v>
      </c>
      <c r="K8" s="22" t="n">
        <f aca="false">IFERROR(J8/E8,0)</f>
        <v>0.0582068965517242</v>
      </c>
      <c r="L8" s="15" t="n">
        <f aca="false">MAX(0,MIN(C8,100000)-B8)</f>
        <v>0</v>
      </c>
      <c r="M8" s="15" t="n">
        <f aca="false">MAX(0,MIN(C8,150000)-MAX(B8,100000))</f>
        <v>50000</v>
      </c>
      <c r="N8" s="15" t="n">
        <f aca="false">MAX(0,C8-MAX(B8,150000))</f>
        <v>60000</v>
      </c>
      <c r="O8" s="22" t="n">
        <f aca="false">IFERROR((L8*Inputs!$C$23+M8*Inputs!$C$24+N8*Inputs!$C$25)/E8,0)</f>
        <v>0.0818181818181818</v>
      </c>
      <c r="P8" s="22" t="n">
        <f aca="false">IFERROR(Inputs!$C$13/24,0)</f>
        <v>0.147916666666667</v>
      </c>
      <c r="Q8" s="22" t="n">
        <f aca="false">IFERROR(Inputs!$C$15/Inputs!$C$17,0)</f>
        <v>0.0163636363636364</v>
      </c>
      <c r="R8" s="22" t="n">
        <f aca="false">Inputs!$C$18</f>
        <v>0.08</v>
      </c>
      <c r="S8" s="22" t="n">
        <f aca="false">IFERROR((Inputs!$C$19+Inputs!$C$20)/Inputs!$C$5,0)</f>
        <v>0.0372727272727273</v>
      </c>
      <c r="T8" s="22" t="n">
        <f aca="false">IFERROR(D8*Inputs!$C$46/E8,0)</f>
        <v>0.007</v>
      </c>
      <c r="U8" s="22" t="n">
        <f aca="false">IFERROR(IF(Inputs!$C$32="Cash",(D8+I8)/2*Inputs!$C$33*F8,(D8*(1-Inputs!$C$35)*Inputs!$C$36*Inputs!$C$34*F8+D8*Inputs!$C$35*Inputs!$C$33*F8))/E8,0)</f>
        <v>0.00638068965517241</v>
      </c>
      <c r="V8" s="44" t="n">
        <f aca="false">K8+O8+P8+Q8+R8+S8+T8+U8</f>
        <v>0.434958798328109</v>
      </c>
      <c r="W8" s="31" t="n">
        <f aca="false">V8*Inputs!$C$5</f>
        <v>23922.733908046</v>
      </c>
    </row>
    <row r="9" customFormat="false" ht="15" hidden="false" customHeight="false" outlineLevel="0" collapsed="false">
      <c r="A9" s="35" t="s">
        <v>445</v>
      </c>
      <c r="B9" s="13" t="n">
        <v>5000</v>
      </c>
      <c r="C9" s="13" t="n">
        <v>200000</v>
      </c>
      <c r="D9" s="40" t="n">
        <v>42000</v>
      </c>
      <c r="E9" s="15" t="n">
        <f aca="false">C9-B9</f>
        <v>195000</v>
      </c>
      <c r="F9" s="16" t="n">
        <f aca="false">IFERROR(E9/Inputs!$C$5,0)</f>
        <v>3.54545454545455</v>
      </c>
      <c r="G9" s="30" t="n">
        <f aca="false">IFERROR(INDEX(Depreciation!$D$5:$D$14,MATCH(B9,Depreciation!$B$5:$B$14,1))+(B9-INDEX(Depreciation!$B$5:$B$14,MATCH(B9,Depreciation!$B$5:$B$14,1)))/(INDEX(Depreciation!$B$5:$B$14,MATCH(B9,Depreciation!$B$5:$B$14,1)+1)-INDEX(Depreciation!$B$5:$B$14,MATCH(B9,Depreciation!$B$5:$B$14,1)))*(INDEX(Depreciation!$D$5:$D$14,MATCH(B9,Depreciation!$B$5:$B$14,1)+1)-INDEX(Depreciation!$D$5:$D$14,MATCH(B9,Depreciation!$B$5:$B$14,1))),INDEX(Depreciation!$D$5:$D$14,MATCH(B9,Depreciation!$B$5:$B$14,1)))</f>
        <v>0.984285714285714</v>
      </c>
      <c r="H9" s="30" t="n">
        <f aca="false">IFERROR(INDEX(Depreciation!$D$5:$D$14,MATCH(C9,Depreciation!$B$5:$B$14,1))+(C9-INDEX(Depreciation!$B$5:$B$14,MATCH(C9,Depreciation!$B$5:$B$14,1)))/(INDEX(Depreciation!$B$5:$B$14,MATCH(C9,Depreciation!$B$5:$B$14,1)+1)-INDEX(Depreciation!$B$5:$B$14,MATCH(C9,Depreciation!$B$5:$B$14,1)))*(INDEX(Depreciation!$D$5:$D$14,MATCH(C9,Depreciation!$B$5:$B$14,1)+1)-INDEX(Depreciation!$D$5:$D$14,MATCH(C9,Depreciation!$B$5:$B$14,1))),INDEX(Depreciation!$D$5:$D$14,MATCH(C9,Depreciation!$B$5:$B$14,1)))</f>
        <v>0.184285714285714</v>
      </c>
      <c r="I9" s="31" t="n">
        <f aca="false">IFERROR(MIN(D9,D9*H9/G9),0)</f>
        <v>7863.57039187228</v>
      </c>
      <c r="J9" s="31" t="n">
        <f aca="false">D9-I9</f>
        <v>34136.4296081277</v>
      </c>
      <c r="K9" s="22" t="n">
        <f aca="false">IFERROR(J9/E9,0)</f>
        <v>0.175058613375014</v>
      </c>
      <c r="L9" s="15" t="n">
        <f aca="false">MAX(0,MIN(C9,100000)-B9)</f>
        <v>95000</v>
      </c>
      <c r="M9" s="15" t="n">
        <f aca="false">MAX(0,MIN(C9,150000)-MAX(B9,100000))</f>
        <v>50000</v>
      </c>
      <c r="N9" s="15" t="n">
        <f aca="false">MAX(0,C9-MAX(B9,150000))</f>
        <v>50000</v>
      </c>
      <c r="O9" s="22" t="n">
        <f aca="false">IFERROR((L9*Inputs!$C$23+M9*Inputs!$C$24+N9*Inputs!$C$25)/E9,0)</f>
        <v>0.0556410256410256</v>
      </c>
      <c r="P9" s="22" t="n">
        <f aca="false">IFERROR(Inputs!$C$13/24,0)</f>
        <v>0.147916666666667</v>
      </c>
      <c r="Q9" s="22" t="n">
        <f aca="false">IFERROR(Inputs!$C$15/Inputs!$C$17,0)</f>
        <v>0.0163636363636364</v>
      </c>
      <c r="R9" s="22" t="n">
        <f aca="false">Inputs!$C$18</f>
        <v>0.08</v>
      </c>
      <c r="S9" s="22" t="n">
        <f aca="false">IFERROR((Inputs!$C$19+Inputs!$C$20)/Inputs!$C$5,0)</f>
        <v>0.0372727272727273</v>
      </c>
      <c r="T9" s="22" t="n">
        <f aca="false">IFERROR(D9*Inputs!$C$46/E9,0)</f>
        <v>0.0150769230769231</v>
      </c>
      <c r="U9" s="22" t="n">
        <f aca="false">IFERROR(IF(Inputs!$C$32="Cash",(D9+I9)/2*Inputs!$C$33*F9,(D9*(1-Inputs!$C$35)*Inputs!$C$36*Inputs!$C$34*F9+D9*Inputs!$C$35*Inputs!$C$33*F9))/E9,0)</f>
        <v>0.0203987333421296</v>
      </c>
      <c r="V9" s="44" t="n">
        <f aca="false">K9+O9+P9+Q9+R9+S9+T9+U9</f>
        <v>0.547728325738123</v>
      </c>
      <c r="W9" s="31" t="n">
        <f aca="false">V9*Inputs!$C$5</f>
        <v>30125.0579155967</v>
      </c>
    </row>
    <row r="10" customFormat="false" ht="15" hidden="false" customHeight="false" outlineLevel="0" collapsed="false">
      <c r="A10" s="32" t="s">
        <v>446</v>
      </c>
      <c r="B10" s="32"/>
      <c r="C10" s="32"/>
      <c r="D10" s="32"/>
      <c r="E10" s="32"/>
      <c r="F10" s="32"/>
      <c r="G10" s="32"/>
      <c r="H10" s="32"/>
      <c r="I10" s="32"/>
      <c r="J10" s="32"/>
      <c r="K10" s="32"/>
      <c r="L10" s="32"/>
      <c r="M10" s="32"/>
    </row>
    <row r="12" customFormat="false" ht="15" hidden="false" customHeight="false" outlineLevel="0" collapsed="false">
      <c r="A12" s="3" t="s">
        <v>447</v>
      </c>
    </row>
    <row r="13" customFormat="false" ht="15" hidden="false" customHeight="false" outlineLevel="0" collapsed="false">
      <c r="A13" s="8" t="s">
        <v>448</v>
      </c>
      <c r="C13" s="19" t="n">
        <v>12000</v>
      </c>
    </row>
    <row r="14" customFormat="false" ht="15" hidden="false" customHeight="false" outlineLevel="0" collapsed="false">
      <c r="A14" s="8" t="s">
        <v>39</v>
      </c>
      <c r="C14" s="15" t="n">
        <f aca="false">Inputs!$C$5</f>
        <v>55000</v>
      </c>
    </row>
    <row r="15" customFormat="false" ht="15" hidden="false" customHeight="false" outlineLevel="0" collapsed="false">
      <c r="A15" s="8" t="s">
        <v>449</v>
      </c>
      <c r="C15" s="15" t="n">
        <f aca="false">MAX(0,C14-C13)</f>
        <v>43000</v>
      </c>
    </row>
    <row r="16" customFormat="false" ht="15" hidden="false" customHeight="false" outlineLevel="0" collapsed="false">
      <c r="A16" s="8" t="s">
        <v>450</v>
      </c>
      <c r="C16" s="17" t="n">
        <v>0.15</v>
      </c>
    </row>
    <row r="17" customFormat="false" ht="15" hidden="false" customHeight="false" outlineLevel="0" collapsed="false">
      <c r="A17" s="8" t="s">
        <v>451</v>
      </c>
      <c r="C17" s="17" t="n">
        <v>0.3</v>
      </c>
    </row>
    <row r="18" customFormat="false" ht="15" hidden="false" customHeight="false" outlineLevel="0" collapsed="false">
      <c r="A18" s="8" t="s">
        <v>452</v>
      </c>
      <c r="C18" s="31" t="n">
        <f aca="false">C15*C16</f>
        <v>6450</v>
      </c>
    </row>
    <row r="19" customFormat="false" ht="15" hidden="false" customHeight="false" outlineLevel="0" collapsed="false">
      <c r="A19" s="8" t="s">
        <v>453</v>
      </c>
      <c r="C19" s="31" t="n">
        <f aca="false">C15*C17</f>
        <v>12900</v>
      </c>
    </row>
    <row r="20" customFormat="false" ht="15" hidden="false" customHeight="false" outlineLevel="0" collapsed="false">
      <c r="A20" s="32" t="s">
        <v>454</v>
      </c>
      <c r="B20" s="32"/>
      <c r="C20" s="32"/>
      <c r="D20" s="32"/>
      <c r="E20" s="32"/>
      <c r="F20" s="32"/>
      <c r="G20" s="32"/>
      <c r="H20" s="32"/>
      <c r="I20" s="32"/>
      <c r="J20" s="32"/>
      <c r="K20" s="32"/>
      <c r="L20" s="32"/>
      <c r="M20" s="32"/>
    </row>
    <row r="22" customFormat="false" ht="39.75" hidden="false" customHeight="true" outlineLevel="0" collapsed="false">
      <c r="A22" s="57" t="s">
        <v>455</v>
      </c>
      <c r="B22" s="57"/>
      <c r="C22" s="57"/>
      <c r="D22" s="57"/>
      <c r="E22" s="57"/>
      <c r="F22" s="57"/>
      <c r="G22" s="57"/>
      <c r="H22" s="57"/>
      <c r="I22" s="57"/>
      <c r="J22" s="57"/>
      <c r="K22" s="57"/>
      <c r="L22" s="57"/>
      <c r="M22" s="57"/>
    </row>
    <row r="23" customFormat="false" ht="39.75" hidden="false" customHeight="true" outlineLevel="0" collapsed="false">
      <c r="A23" s="57" t="s">
        <v>456</v>
      </c>
      <c r="B23" s="57"/>
      <c r="C23" s="57"/>
      <c r="D23" s="57"/>
      <c r="E23" s="57"/>
      <c r="F23" s="57"/>
      <c r="G23" s="57"/>
      <c r="H23" s="57"/>
      <c r="I23" s="57"/>
      <c r="J23" s="57"/>
      <c r="K23" s="57"/>
      <c r="L23" s="57"/>
      <c r="M23" s="57"/>
    </row>
    <row r="24" customFormat="false" ht="39.75" hidden="false" customHeight="true" outlineLevel="0" collapsed="false">
      <c r="A24" s="57" t="s">
        <v>457</v>
      </c>
      <c r="B24" s="57"/>
      <c r="C24" s="57"/>
      <c r="D24" s="57"/>
      <c r="E24" s="57"/>
      <c r="F24" s="57"/>
      <c r="G24" s="57"/>
      <c r="H24" s="57"/>
      <c r="I24" s="57"/>
      <c r="J24" s="57"/>
      <c r="K24" s="57"/>
      <c r="L24" s="57"/>
      <c r="M24" s="57"/>
    </row>
    <row r="25" customFormat="false" ht="39.75" hidden="false" customHeight="true" outlineLevel="0" collapsed="false">
      <c r="A25" s="57" t="s">
        <v>458</v>
      </c>
      <c r="B25" s="57"/>
      <c r="C25" s="57"/>
      <c r="D25" s="57"/>
      <c r="E25" s="57"/>
      <c r="F25" s="57"/>
      <c r="G25" s="57"/>
      <c r="H25" s="57"/>
      <c r="I25" s="57"/>
      <c r="J25" s="57"/>
      <c r="K25" s="57"/>
      <c r="L25" s="57"/>
      <c r="M25" s="57"/>
    </row>
  </sheetData>
  <mergeCells count="6">
    <mergeCell ref="A10:M10"/>
    <mergeCell ref="A20:M20"/>
    <mergeCell ref="A22:M22"/>
    <mergeCell ref="A23:M23"/>
    <mergeCell ref="A24:M24"/>
    <mergeCell ref="A25:M2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8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0"/>
    <col collapsed="false" customWidth="true" hidden="false" outlineLevel="0" max="3" min="3" style="0" width="7"/>
    <col collapsed="false" customWidth="true" hidden="false" outlineLevel="0" max="4" min="4" style="0" width="13"/>
    <col collapsed="false" customWidth="true" hidden="false" outlineLevel="0" max="7" min="5" style="0" width="11"/>
    <col collapsed="false" customWidth="true" hidden="false" outlineLevel="0" max="8" min="8" style="0" width="13"/>
    <col collapsed="false" customWidth="true" hidden="false" outlineLevel="0" max="10" min="9" style="0" width="11"/>
    <col collapsed="false" customWidth="true" hidden="false" outlineLevel="0" max="11" min="11" style="0" width="13"/>
    <col collapsed="false" customWidth="true" hidden="false" outlineLevel="0" max="13" min="12" style="0" width="11"/>
    <col collapsed="false" customWidth="true" hidden="false" outlineLevel="0" max="14" min="14" style="0" width="13"/>
    <col collapsed="false" customWidth="true" hidden="false" outlineLevel="0" max="16" min="15" style="0" width="11"/>
    <col collapsed="false" customWidth="true" hidden="false" outlineLevel="0" max="17" min="17" style="0" width="13"/>
    <col collapsed="false" customWidth="true" hidden="false" outlineLevel="0" max="19" min="18" style="0" width="11"/>
    <col collapsed="false" customWidth="true" hidden="false" outlineLevel="0" max="20" min="20" style="0" width="13"/>
  </cols>
  <sheetData>
    <row r="1" customFormat="false" ht="17.35" hidden="false" customHeight="false" outlineLevel="0" collapsed="false">
      <c r="A1" s="1" t="s">
        <v>459</v>
      </c>
    </row>
    <row r="2" customFormat="false" ht="15" hidden="false" customHeight="false" outlineLevel="0" collapsed="false">
      <c r="A2" s="2" t="s">
        <v>460</v>
      </c>
    </row>
    <row r="3" customFormat="false" ht="15" hidden="false" customHeight="false" outlineLevel="0" collapsed="false">
      <c r="A3" s="2" t="s">
        <v>461</v>
      </c>
    </row>
    <row r="5" customFormat="false" ht="31.5" hidden="false" customHeight="true" outlineLevel="0" collapsed="false">
      <c r="A5" s="36" t="s">
        <v>146</v>
      </c>
      <c r="B5" s="36" t="s">
        <v>147</v>
      </c>
      <c r="C5" s="36" t="s">
        <v>148</v>
      </c>
      <c r="D5" s="36" t="s">
        <v>152</v>
      </c>
      <c r="E5" s="36" t="s">
        <v>151</v>
      </c>
      <c r="F5" s="36" t="s">
        <v>462</v>
      </c>
      <c r="G5" s="36" t="s">
        <v>463</v>
      </c>
      <c r="H5" s="36" t="s">
        <v>464</v>
      </c>
      <c r="I5" s="36" t="s">
        <v>465</v>
      </c>
      <c r="J5" s="36" t="s">
        <v>466</v>
      </c>
      <c r="K5" s="36" t="s">
        <v>467</v>
      </c>
      <c r="L5" s="36" t="s">
        <v>468</v>
      </c>
      <c r="M5" s="36" t="s">
        <v>469</v>
      </c>
      <c r="N5" s="36" t="s">
        <v>470</v>
      </c>
      <c r="O5" s="36" t="s">
        <v>471</v>
      </c>
      <c r="P5" s="36" t="s">
        <v>472</v>
      </c>
      <c r="Q5" s="36" t="s">
        <v>473</v>
      </c>
      <c r="R5" s="36" t="s">
        <v>474</v>
      </c>
      <c r="S5" s="36" t="s">
        <v>475</v>
      </c>
      <c r="T5" s="36" t="s">
        <v>476</v>
      </c>
    </row>
    <row r="6" customFormat="false" ht="15" hidden="false" customHeight="false" outlineLevel="0" collapsed="false">
      <c r="A6" s="35" t="s">
        <v>183</v>
      </c>
      <c r="B6" s="35" t="s">
        <v>184</v>
      </c>
      <c r="C6" s="37" t="s">
        <v>477</v>
      </c>
      <c r="D6" s="58" t="n">
        <f aca="false">Models!G7</f>
        <v>46000</v>
      </c>
      <c r="E6" s="59" t="n">
        <f aca="false">Models!F7</f>
        <v>0.939862542955326</v>
      </c>
      <c r="F6" s="60" t="n">
        <f aca="false">Depreciation!$C$32</f>
        <v>95000</v>
      </c>
      <c r="G6" s="47" t="n">
        <f aca="false">MIN($D6,$D6*Depreciation!$E$32*$E6)</f>
        <v>22963.4172100089</v>
      </c>
      <c r="H6" s="48" t="n">
        <f aca="false">IFERROR(($D6-G6)/(1*Inputs!$C$5),0)</f>
        <v>0.418846959818021</v>
      </c>
      <c r="I6" s="60" t="n">
        <f aca="false">Depreciation!$C$33</f>
        <v>150000</v>
      </c>
      <c r="J6" s="47" t="n">
        <f aca="false">MIN($D6,$D6*Depreciation!$E$33*$E6)</f>
        <v>13271.9276036807</v>
      </c>
      <c r="K6" s="48" t="n">
        <f aca="false">IFERROR(($D6-J6)/(2*Inputs!$C$5),0)</f>
        <v>0.29752793087563</v>
      </c>
      <c r="L6" s="60" t="n">
        <f aca="false">Depreciation!$C$34</f>
        <v>177500</v>
      </c>
      <c r="M6" s="47" t="n">
        <f aca="false">MIN($D6,$D6*Depreciation!$E$34*$E6)</f>
        <v>11262.4981153706</v>
      </c>
      <c r="N6" s="48" t="n">
        <f aca="false">IFERROR(($D6-M6)/(2.5*Inputs!$C$5),0)</f>
        <v>0.252636377342759</v>
      </c>
      <c r="O6" s="60" t="n">
        <f aca="false">Depreciation!$C$35</f>
        <v>205000</v>
      </c>
      <c r="P6" s="47" t="n">
        <f aca="false">MIN($D6,$D6*Depreciation!$E$35*$E6)</f>
        <v>9327.63001809244</v>
      </c>
      <c r="Q6" s="48" t="n">
        <f aca="false">IFERROR(($D6-P6)/(3*Inputs!$C$5),0)</f>
        <v>0.222256787769137</v>
      </c>
      <c r="R6" s="60" t="n">
        <f aca="false">Depreciation!$C$36</f>
        <v>260000</v>
      </c>
      <c r="S6" s="47" t="n">
        <f aca="false">MIN($D6,$D6*Depreciation!$E$36*$E6)</f>
        <v>6710.52519287226</v>
      </c>
      <c r="T6" s="48" t="n">
        <f aca="false">IFERROR(($D6-S6)/(4*Inputs!$C$5),0)</f>
        <v>0.178588521850581</v>
      </c>
    </row>
    <row r="7" customFormat="false" ht="15" hidden="false" customHeight="false" outlineLevel="0" collapsed="false">
      <c r="A7" s="35" t="s">
        <v>194</v>
      </c>
      <c r="B7" s="35" t="s">
        <v>184</v>
      </c>
      <c r="C7" s="37" t="s">
        <v>477</v>
      </c>
      <c r="D7" s="58" t="n">
        <f aca="false">Models!G8</f>
        <v>48000</v>
      </c>
      <c r="E7" s="59" t="n">
        <f aca="false">Models!F8</f>
        <v>0.939862542955326</v>
      </c>
      <c r="F7" s="60" t="n">
        <f aca="false">Depreciation!$C$32</f>
        <v>95000</v>
      </c>
      <c r="G7" s="47" t="n">
        <f aca="false">MIN($D7,$D7*Depreciation!$E$32*$E7)</f>
        <v>23961.8266539223</v>
      </c>
      <c r="H7" s="48" t="n">
        <f aca="false">IFERROR(($D7-G7)/(1*Inputs!$C$5),0)</f>
        <v>0.437057697201413</v>
      </c>
      <c r="I7" s="60" t="n">
        <f aca="false">Depreciation!$C$33</f>
        <v>150000</v>
      </c>
      <c r="J7" s="47" t="n">
        <f aca="false">MIN($D7,$D7*Depreciation!$E$33*$E7)</f>
        <v>13848.9679342755</v>
      </c>
      <c r="K7" s="48" t="n">
        <f aca="false">IFERROR(($D7-J7)/(2*Inputs!$C$5),0)</f>
        <v>0.310463927870223</v>
      </c>
      <c r="L7" s="60" t="n">
        <f aca="false">Depreciation!$C$34</f>
        <v>177500</v>
      </c>
      <c r="M7" s="47" t="n">
        <f aca="false">MIN($D7,$D7*Depreciation!$E$34*$E7)</f>
        <v>11752.1719464737</v>
      </c>
      <c r="N7" s="48" t="n">
        <f aca="false">IFERROR(($D7-M7)/(2.5*Inputs!$C$5),0)</f>
        <v>0.26362056766201</v>
      </c>
      <c r="O7" s="60" t="n">
        <f aca="false">Depreciation!$C$35</f>
        <v>205000</v>
      </c>
      <c r="P7" s="47" t="n">
        <f aca="false">MIN($D7,$D7*Depreciation!$E$35*$E7)</f>
        <v>9733.17914931385</v>
      </c>
      <c r="Q7" s="48" t="n">
        <f aca="false">IFERROR(($D7-P7)/(3*Inputs!$C$5),0)</f>
        <v>0.231920126367795</v>
      </c>
      <c r="R7" s="60" t="n">
        <f aca="false">Depreciation!$C$36</f>
        <v>260000</v>
      </c>
      <c r="S7" s="47" t="n">
        <f aca="false">MIN($D7,$D7*Depreciation!$E$36*$E7)</f>
        <v>7002.28715777975</v>
      </c>
      <c r="T7" s="48" t="n">
        <f aca="false">IFERROR(($D7-S7)/(4*Inputs!$C$5),0)</f>
        <v>0.18635324019191</v>
      </c>
    </row>
    <row r="8" customFormat="false" ht="15" hidden="false" customHeight="false" outlineLevel="0" collapsed="false">
      <c r="A8" s="35" t="s">
        <v>197</v>
      </c>
      <c r="B8" s="35" t="s">
        <v>184</v>
      </c>
      <c r="C8" s="37" t="s">
        <v>477</v>
      </c>
      <c r="D8" s="58" t="n">
        <f aca="false">Models!G9</f>
        <v>45000</v>
      </c>
      <c r="E8" s="59" t="n">
        <f aca="false">Models!F9</f>
        <v>0.762886597938144</v>
      </c>
      <c r="F8" s="60" t="n">
        <f aca="false">Depreciation!$C$32</f>
        <v>95000</v>
      </c>
      <c r="G8" s="47" t="n">
        <f aca="false">MIN($D8,$D8*Depreciation!$E$32*$E8)</f>
        <v>18234.205383355</v>
      </c>
      <c r="H8" s="48" t="n">
        <f aca="false">IFERROR(($D8-G8)/(1*Inputs!$C$5),0)</f>
        <v>0.486650811211728</v>
      </c>
      <c r="I8" s="60" t="n">
        <f aca="false">Depreciation!$C$33</f>
        <v>150000</v>
      </c>
      <c r="J8" s="47" t="n">
        <f aca="false">MIN($D8,$D8*Depreciation!$E$33*$E8)</f>
        <v>10538.634191302</v>
      </c>
      <c r="K8" s="48" t="n">
        <f aca="false">IFERROR(($D8-J8)/(2*Inputs!$C$5),0)</f>
        <v>0.313285143715437</v>
      </c>
      <c r="L8" s="60" t="n">
        <f aca="false">Depreciation!$C$34</f>
        <v>177500</v>
      </c>
      <c r="M8" s="47" t="n">
        <f aca="false">MIN($D8,$D8*Depreciation!$E$34*$E8)</f>
        <v>8943.0376100908</v>
      </c>
      <c r="N8" s="48" t="n">
        <f aca="false">IFERROR(($D8-M8)/(2.5*Inputs!$C$5),0)</f>
        <v>0.262232453744794</v>
      </c>
      <c r="O8" s="60" t="n">
        <f aca="false">Depreciation!$C$35</f>
        <v>205000</v>
      </c>
      <c r="P8" s="47" t="n">
        <f aca="false">MIN($D8,$D8*Depreciation!$E$35*$E8)</f>
        <v>7406.64683894313</v>
      </c>
      <c r="Q8" s="48" t="n">
        <f aca="false">IFERROR(($D8-P8)/(3*Inputs!$C$5),0)</f>
        <v>0.227838504006405</v>
      </c>
      <c r="R8" s="60" t="n">
        <f aca="false">Depreciation!$C$36</f>
        <v>260000</v>
      </c>
      <c r="S8" s="47" t="n">
        <f aca="false">MIN($D8,$D8*Depreciation!$E$36*$E8)</f>
        <v>5328.52290571448</v>
      </c>
      <c r="T8" s="48" t="n">
        <f aca="false">IFERROR(($D8-S8)/(4*Inputs!$C$5),0)</f>
        <v>0.180324895883116</v>
      </c>
    </row>
    <row r="9" customFormat="false" ht="15" hidden="false" customHeight="false" outlineLevel="0" collapsed="false">
      <c r="A9" s="35" t="s">
        <v>201</v>
      </c>
      <c r="B9" s="35" t="s">
        <v>184</v>
      </c>
      <c r="C9" s="37" t="s">
        <v>477</v>
      </c>
      <c r="D9" s="58" t="n">
        <f aca="false">Models!G10</f>
        <v>49000</v>
      </c>
      <c r="E9" s="59" t="n">
        <f aca="false">Models!F10</f>
        <v>0.893470790378007</v>
      </c>
      <c r="F9" s="60" t="n">
        <f aca="false">Depreciation!$C$32</f>
        <v>95000</v>
      </c>
      <c r="G9" s="47" t="n">
        <f aca="false">MIN($D9,$D9*Depreciation!$E$32*$E9)</f>
        <v>23253.6312896839</v>
      </c>
      <c r="H9" s="48" t="n">
        <f aca="false">IFERROR(($D9-G9)/(1*Inputs!$C$5),0)</f>
        <v>0.46811579473302</v>
      </c>
      <c r="I9" s="60" t="n">
        <f aca="false">Depreciation!$C$33</f>
        <v>150000</v>
      </c>
      <c r="J9" s="47" t="n">
        <f aca="false">MIN($D9,$D9*Depreciation!$E$33*$E9)</f>
        <v>13439.659619338</v>
      </c>
      <c r="K9" s="48" t="n">
        <f aca="false">IFERROR(($D9-J9)/(2*Inputs!$C$5),0)</f>
        <v>0.323275821642381</v>
      </c>
      <c r="L9" s="60" t="n">
        <f aca="false">Depreciation!$C$34</f>
        <v>177500</v>
      </c>
      <c r="M9" s="47" t="n">
        <f aca="false">MIN($D9,$D9*Depreciation!$E$34*$E9)</f>
        <v>11404.8347500057</v>
      </c>
      <c r="N9" s="48" t="n">
        <f aca="false">IFERROR(($D9-M9)/(2.5*Inputs!$C$5),0)</f>
        <v>0.273419383636322</v>
      </c>
      <c r="O9" s="60" t="n">
        <f aca="false">Depreciation!$C$35</f>
        <v>205000</v>
      </c>
      <c r="P9" s="47" t="n">
        <f aca="false">MIN($D9,$D9*Depreciation!$E$35*$E9)</f>
        <v>9445.51358639994</v>
      </c>
      <c r="Q9" s="48" t="n">
        <f aca="false">IFERROR(($D9-P9)/(3*Inputs!$C$5),0)</f>
        <v>0.239724160082425</v>
      </c>
      <c r="R9" s="60" t="n">
        <f aca="false">Depreciation!$C$36</f>
        <v>260000</v>
      </c>
      <c r="S9" s="47" t="n">
        <f aca="false">MIN($D9,$D9*Depreciation!$E$36*$E9)</f>
        <v>6795.33351539564</v>
      </c>
      <c r="T9" s="48" t="n">
        <f aca="false">IFERROR(($D9-S9)/(4*Inputs!$C$5),0)</f>
        <v>0.191839393111838</v>
      </c>
    </row>
    <row r="10" customFormat="false" ht="15" hidden="false" customHeight="false" outlineLevel="0" collapsed="false">
      <c r="A10" s="35" t="s">
        <v>204</v>
      </c>
      <c r="B10" s="35" t="s">
        <v>184</v>
      </c>
      <c r="C10" s="37" t="s">
        <v>477</v>
      </c>
      <c r="D10" s="58" t="n">
        <f aca="false">Models!G11</f>
        <v>50000</v>
      </c>
      <c r="E10" s="59" t="n">
        <f aca="false">Models!F11</f>
        <v>0.893470790378007</v>
      </c>
      <c r="F10" s="60" t="n">
        <f aca="false">Depreciation!$C$32</f>
        <v>95000</v>
      </c>
      <c r="G10" s="47" t="n">
        <f aca="false">MIN($D10,$D10*Depreciation!$E$32*$E10)</f>
        <v>23728.195193555</v>
      </c>
      <c r="H10" s="48" t="n">
        <f aca="false">IFERROR(($D10-G10)/(1*Inputs!$C$5),0)</f>
        <v>0.477669178299</v>
      </c>
      <c r="I10" s="60" t="n">
        <f aca="false">Depreciation!$C$33</f>
        <v>150000</v>
      </c>
      <c r="J10" s="47" t="n">
        <f aca="false">MIN($D10,$D10*Depreciation!$E$33*$E10)</f>
        <v>13713.9383870796</v>
      </c>
      <c r="K10" s="48" t="n">
        <f aca="false">IFERROR(($D10-J10)/(2*Inputs!$C$5),0)</f>
        <v>0.329873287390185</v>
      </c>
      <c r="L10" s="60" t="n">
        <f aca="false">Depreciation!$C$34</f>
        <v>177500</v>
      </c>
      <c r="M10" s="47" t="n">
        <f aca="false">MIN($D10,$D10*Depreciation!$E$34*$E10)</f>
        <v>11637.5864795976</v>
      </c>
      <c r="N10" s="48" t="n">
        <f aca="false">IFERROR(($D10-M10)/(2.5*Inputs!$C$5),0)</f>
        <v>0.278999371057472</v>
      </c>
      <c r="O10" s="60" t="n">
        <f aca="false">Depreciation!$C$35</f>
        <v>205000</v>
      </c>
      <c r="P10" s="47" t="n">
        <f aca="false">MIN($D10,$D10*Depreciation!$E$35*$E10)</f>
        <v>9638.27916979586</v>
      </c>
      <c r="Q10" s="48" t="n">
        <f aca="false">IFERROR(($D10-P10)/(3*Inputs!$C$5),0)</f>
        <v>0.244616489880025</v>
      </c>
      <c r="R10" s="60" t="n">
        <f aca="false">Depreciation!$C$36</f>
        <v>260000</v>
      </c>
      <c r="S10" s="47" t="n">
        <f aca="false">MIN($D10,$D10*Depreciation!$E$36*$E10)</f>
        <v>6934.01379122004</v>
      </c>
      <c r="T10" s="48" t="n">
        <f aca="false">IFERROR(($D10-S10)/(4*Inputs!$C$5),0)</f>
        <v>0.195754482767182</v>
      </c>
    </row>
    <row r="11" customFormat="false" ht="15" hidden="false" customHeight="false" outlineLevel="0" collapsed="false">
      <c r="A11" s="35" t="s">
        <v>207</v>
      </c>
      <c r="B11" s="35" t="s">
        <v>184</v>
      </c>
      <c r="C11" s="49" t="s">
        <v>478</v>
      </c>
      <c r="D11" s="58" t="n">
        <f aca="false">Models!G12</f>
        <v>43000</v>
      </c>
      <c r="E11" s="59" t="n">
        <f aca="false">Models!F12</f>
        <v>0.687285223367698</v>
      </c>
      <c r="F11" s="60" t="n">
        <f aca="false">Depreciation!$C$32</f>
        <v>95000</v>
      </c>
      <c r="G11" s="47" t="n">
        <f aca="false">MIN($D11,$D11*Depreciation!$E$32*$E11)</f>
        <v>15697.1137434287</v>
      </c>
      <c r="H11" s="48" t="n">
        <f aca="false">IFERROR(($D11-G11)/(1*Inputs!$C$5),0)</f>
        <v>0.496416113755842</v>
      </c>
      <c r="I11" s="60" t="n">
        <f aca="false">Depreciation!$C$33</f>
        <v>150000</v>
      </c>
      <c r="J11" s="47" t="n">
        <f aca="false">MIN($D11,$D11*Depreciation!$E$33*$E11)</f>
        <v>9072.29770222192</v>
      </c>
      <c r="K11" s="48" t="n">
        <f aca="false">IFERROR(($D11-J11)/(2*Inputs!$C$5),0)</f>
        <v>0.308433657252528</v>
      </c>
      <c r="L11" s="60" t="n">
        <f aca="false">Depreciation!$C$34</f>
        <v>177500</v>
      </c>
      <c r="M11" s="47" t="n">
        <f aca="false">MIN($D11,$D11*Depreciation!$E$34*$E11)</f>
        <v>7698.71105573382</v>
      </c>
      <c r="N11" s="48" t="n">
        <f aca="false">IFERROR(($D11-M11)/(2.5*Inputs!$C$5),0)</f>
        <v>0.25673664686739</v>
      </c>
      <c r="O11" s="60" t="n">
        <f aca="false">Depreciation!$C$35</f>
        <v>205000</v>
      </c>
      <c r="P11" s="47" t="n">
        <f aca="false">MIN($D11,$D11*Depreciation!$E$35*$E11)</f>
        <v>6376.09237386496</v>
      </c>
      <c r="Q11" s="48" t="n">
        <f aca="false">IFERROR(($D11-P11)/(3*Inputs!$C$5),0)</f>
        <v>0.221963076522031</v>
      </c>
      <c r="R11" s="60" t="n">
        <f aca="false">Depreciation!$C$36</f>
        <v>260000</v>
      </c>
      <c r="S11" s="47" t="n">
        <f aca="false">MIN($D11,$D11*Depreciation!$E$36*$E11)</f>
        <v>4587.11681573018</v>
      </c>
      <c r="T11" s="48" t="n">
        <f aca="false">IFERROR(($D11-S11)/(4*Inputs!$C$5),0)</f>
        <v>0.174604014473954</v>
      </c>
    </row>
    <row r="12" customFormat="false" ht="15" hidden="false" customHeight="false" outlineLevel="0" collapsed="false">
      <c r="A12" s="35" t="s">
        <v>212</v>
      </c>
      <c r="B12" s="35" t="s">
        <v>184</v>
      </c>
      <c r="C12" s="37" t="s">
        <v>477</v>
      </c>
      <c r="D12" s="58" t="n">
        <f aca="false">Models!G13</f>
        <v>46000</v>
      </c>
      <c r="E12" s="59" t="n">
        <f aca="false">Models!F13</f>
        <v>0.996563573883162</v>
      </c>
      <c r="F12" s="60" t="n">
        <f aca="false">Depreciation!$C$32</f>
        <v>95000</v>
      </c>
      <c r="G12" s="47" t="n">
        <f aca="false">MIN($D12,$D12*Depreciation!$E$32*$E12)</f>
        <v>24348.7787601557</v>
      </c>
      <c r="H12" s="48" t="n">
        <f aca="false">IFERROR(($D12-G12)/(1*Inputs!$C$5),0)</f>
        <v>0.39365856799717</v>
      </c>
      <c r="I12" s="60" t="n">
        <f aca="false">Depreciation!$C$33</f>
        <v>150000</v>
      </c>
      <c r="J12" s="47" t="n">
        <f aca="false">MIN($D12,$D12*Depreciation!$E$33*$E12)</f>
        <v>14072.6106218186</v>
      </c>
      <c r="K12" s="48" t="n">
        <f aca="false">IFERROR(($D12-J12)/(2*Inputs!$C$5),0)</f>
        <v>0.290248994347103</v>
      </c>
      <c r="L12" s="60" t="n">
        <f aca="false">Depreciation!$C$34</f>
        <v>177500</v>
      </c>
      <c r="M12" s="47" t="n">
        <f aca="false">MIN($D12,$D12*Depreciation!$E$34*$E12)</f>
        <v>11941.9541259871</v>
      </c>
      <c r="N12" s="48" t="n">
        <f aca="false">IFERROR(($D12-M12)/(2.5*Inputs!$C$5),0)</f>
        <v>0.24769487908373</v>
      </c>
      <c r="O12" s="60" t="n">
        <f aca="false">Depreciation!$C$35</f>
        <v>205000</v>
      </c>
      <c r="P12" s="47" t="n">
        <f aca="false">MIN($D12,$D12*Depreciation!$E$35*$E12)</f>
        <v>9890.35724039053</v>
      </c>
      <c r="Q12" s="48" t="n">
        <f aca="false">IFERROR(($D12-P12)/(3*Inputs!$C$5),0)</f>
        <v>0.218846319755209</v>
      </c>
      <c r="R12" s="60" t="n">
        <f aca="false">Depreciation!$C$36</f>
        <v>260000</v>
      </c>
      <c r="S12" s="47" t="n">
        <f aca="false">MIN($D12,$D12*Depreciation!$E$36*$E12)</f>
        <v>7115.36492114426</v>
      </c>
      <c r="T12" s="48" t="n">
        <f aca="false">IFERROR(($D12-S12)/(4*Inputs!$C$5),0)</f>
        <v>0.176748341267526</v>
      </c>
    </row>
    <row r="13" customFormat="false" ht="15" hidden="false" customHeight="false" outlineLevel="0" collapsed="false">
      <c r="A13" s="35" t="s">
        <v>216</v>
      </c>
      <c r="B13" s="35" t="s">
        <v>184</v>
      </c>
      <c r="C13" s="49" t="s">
        <v>478</v>
      </c>
      <c r="D13" s="58" t="n">
        <f aca="false">Models!G14</f>
        <v>32000</v>
      </c>
      <c r="E13" s="59" t="n">
        <f aca="false">Models!F14</f>
        <v>0.687285223367698</v>
      </c>
      <c r="F13" s="60" t="n">
        <f aca="false">Depreciation!$C$32</f>
        <v>95000</v>
      </c>
      <c r="G13" s="47" t="n">
        <f aca="false">MIN($D13,$D13*Depreciation!$E$32*$E13)</f>
        <v>11681.5730183655</v>
      </c>
      <c r="H13" s="48" t="n">
        <f aca="false">IFERROR(($D13-G13)/(1*Inputs!$C$5),0)</f>
        <v>0.369425945120627</v>
      </c>
      <c r="I13" s="60" t="n">
        <f aca="false">Depreciation!$C$33</f>
        <v>150000</v>
      </c>
      <c r="J13" s="47" t="n">
        <f aca="false">MIN($D13,$D13*Depreciation!$E$33*$E13)</f>
        <v>6751.47735979306</v>
      </c>
      <c r="K13" s="48" t="n">
        <f aca="false">IFERROR(($D13-J13)/(2*Inputs!$C$5),0)</f>
        <v>0.229532024001881</v>
      </c>
      <c r="L13" s="60" t="n">
        <f aca="false">Depreciation!$C$34</f>
        <v>177500</v>
      </c>
      <c r="M13" s="47" t="n">
        <f aca="false">MIN($D13,$D13*Depreciation!$E$34*$E13)</f>
        <v>5729.27334380192</v>
      </c>
      <c r="N13" s="48" t="n">
        <f aca="false">IFERROR(($D13-M13)/(2.5*Inputs!$C$5),0)</f>
        <v>0.191059830226895</v>
      </c>
      <c r="O13" s="60" t="n">
        <f aca="false">Depreciation!$C$35</f>
        <v>205000</v>
      </c>
      <c r="P13" s="47" t="n">
        <f aca="false">MIN($D13,$D13*Depreciation!$E$35*$E13)</f>
        <v>4744.9989758995</v>
      </c>
      <c r="Q13" s="48" t="n">
        <f aca="false">IFERROR(($D13-P13)/(3*Inputs!$C$5),0)</f>
        <v>0.165181824388488</v>
      </c>
      <c r="R13" s="60" t="n">
        <f aca="false">Depreciation!$C$36</f>
        <v>260000</v>
      </c>
      <c r="S13" s="47" t="n">
        <f aca="false">MIN($D13,$D13*Depreciation!$E$36*$E13)</f>
        <v>3413.66832798525</v>
      </c>
      <c r="T13" s="48" t="n">
        <f aca="false">IFERROR(($D13-S13)/(4*Inputs!$C$5),0)</f>
        <v>0.129937871236431</v>
      </c>
    </row>
    <row r="14" customFormat="false" ht="15" hidden="false" customHeight="false" outlineLevel="0" collapsed="false">
      <c r="A14" s="35" t="s">
        <v>219</v>
      </c>
      <c r="B14" s="35" t="s">
        <v>184</v>
      </c>
      <c r="C14" s="50" t="s">
        <v>479</v>
      </c>
      <c r="D14" s="58" t="n">
        <f aca="false">Models!G15</f>
        <v>70000</v>
      </c>
      <c r="E14" s="59" t="n">
        <f aca="false">Models!F15</f>
        <v>0.656357388316151</v>
      </c>
      <c r="F14" s="60" t="n">
        <f aca="false">Depreciation!$C$32</f>
        <v>95000</v>
      </c>
      <c r="G14" s="47" t="n">
        <f aca="false">MIN($D14,$D14*Depreciation!$E$32*$E14)</f>
        <v>24403.5361336793</v>
      </c>
      <c r="H14" s="48" t="n">
        <f aca="false">IFERROR(($D14-G14)/(1*Inputs!$C$5),0)</f>
        <v>0.829026615751286</v>
      </c>
      <c r="I14" s="60" t="n">
        <f aca="false">Depreciation!$C$33</f>
        <v>150000</v>
      </c>
      <c r="J14" s="47" t="n">
        <f aca="false">MIN($D14,$D14*Depreciation!$E$33*$E14)</f>
        <v>14104.2581719427</v>
      </c>
      <c r="K14" s="48" t="n">
        <f aca="false">IFERROR(($D14-J14)/(2*Inputs!$C$5),0)</f>
        <v>0.508143107527794</v>
      </c>
      <c r="L14" s="60" t="n">
        <f aca="false">Depreciation!$C$34</f>
        <v>177500</v>
      </c>
      <c r="M14" s="47" t="n">
        <f aca="false">MIN($D14,$D14*Depreciation!$E$34*$E14)</f>
        <v>11968.8100947862</v>
      </c>
      <c r="N14" s="48" t="n">
        <f aca="false">IFERROR(($D14-M14)/(2.5*Inputs!$C$5),0)</f>
        <v>0.422045017492464</v>
      </c>
      <c r="O14" s="60" t="n">
        <f aca="false">Depreciation!$C$35</f>
        <v>205000</v>
      </c>
      <c r="P14" s="47" t="n">
        <f aca="false">MIN($D14,$D14*Depreciation!$E$35*$E14)</f>
        <v>9912.59942309005</v>
      </c>
      <c r="Q14" s="48" t="n">
        <f aca="false">IFERROR(($D14-P14)/(3*Inputs!$C$5),0)</f>
        <v>0.364166064102485</v>
      </c>
      <c r="R14" s="60" t="n">
        <f aca="false">Depreciation!$C$36</f>
        <v>260000</v>
      </c>
      <c r="S14" s="47" t="n">
        <f aca="false">MIN($D14,$D14*Depreciation!$E$36*$E14)</f>
        <v>7131.36649143169</v>
      </c>
      <c r="T14" s="48" t="n">
        <f aca="false">IFERROR(($D14-S14)/(4*Inputs!$C$5),0)</f>
        <v>0.285766515948038</v>
      </c>
    </row>
    <row r="15" customFormat="false" ht="15" hidden="false" customHeight="false" outlineLevel="0" collapsed="false">
      <c r="A15" s="35" t="s">
        <v>224</v>
      </c>
      <c r="B15" s="35" t="s">
        <v>184</v>
      </c>
      <c r="C15" s="50" t="s">
        <v>479</v>
      </c>
      <c r="D15" s="58" t="n">
        <f aca="false">Models!G16</f>
        <v>54000</v>
      </c>
      <c r="E15" s="59" t="n">
        <f aca="false">Models!F16</f>
        <v>0.756013745704467</v>
      </c>
      <c r="F15" s="60" t="n">
        <f aca="false">Depreciation!$C$32</f>
        <v>95000</v>
      </c>
      <c r="G15" s="47" t="n">
        <f aca="false">MIN($D15,$D15*Depreciation!$E$32*$E15)</f>
        <v>21683.919915341</v>
      </c>
      <c r="H15" s="48" t="n">
        <f aca="false">IFERROR(($D15-G15)/(1*Inputs!$C$5),0)</f>
        <v>0.587565092448345</v>
      </c>
      <c r="I15" s="60" t="n">
        <f aca="false">Depreciation!$C$33</f>
        <v>150000</v>
      </c>
      <c r="J15" s="47" t="n">
        <f aca="false">MIN($D15,$D15*Depreciation!$E$33*$E15)</f>
        <v>12532.4298491159</v>
      </c>
      <c r="K15" s="48" t="n">
        <f aca="false">IFERROR(($D15-J15)/(2*Inputs!$C$5),0)</f>
        <v>0.376977910462583</v>
      </c>
      <c r="L15" s="60" t="n">
        <f aca="false">Depreciation!$C$34</f>
        <v>177500</v>
      </c>
      <c r="M15" s="47" t="n">
        <f aca="false">MIN($D15,$D15*Depreciation!$E$34*$E15)</f>
        <v>10634.9636444323</v>
      </c>
      <c r="N15" s="48" t="n">
        <f aca="false">IFERROR(($D15-M15)/(2.5*Inputs!$C$5),0)</f>
        <v>0.315382082585947</v>
      </c>
      <c r="O15" s="60" t="n">
        <f aca="false">Depreciation!$C$35</f>
        <v>205000</v>
      </c>
      <c r="P15" s="47" t="n">
        <f aca="false">MIN($D15,$D15*Depreciation!$E$35*$E15)</f>
        <v>8807.90434901345</v>
      </c>
      <c r="Q15" s="48" t="n">
        <f aca="false">IFERROR(($D15-P15)/(3*Inputs!$C$5),0)</f>
        <v>0.273891488793858</v>
      </c>
      <c r="R15" s="60" t="n">
        <f aca="false">Depreciation!$C$36</f>
        <v>260000</v>
      </c>
      <c r="S15" s="47" t="n">
        <f aca="false">MIN($D15,$D15*Depreciation!$E$36*$E15)</f>
        <v>6336.62183382262</v>
      </c>
      <c r="T15" s="48" t="n">
        <f aca="false">IFERROR(($D15-S15)/(4*Inputs!$C$5),0)</f>
        <v>0.21665171893717</v>
      </c>
    </row>
    <row r="16" customFormat="false" ht="15" hidden="false" customHeight="false" outlineLevel="0" collapsed="false">
      <c r="A16" s="35" t="s">
        <v>229</v>
      </c>
      <c r="B16" s="35" t="s">
        <v>230</v>
      </c>
      <c r="C16" s="49" t="s">
        <v>478</v>
      </c>
      <c r="D16" s="58" t="n">
        <f aca="false">Models!G17</f>
        <v>32000</v>
      </c>
      <c r="E16" s="59" t="n">
        <f aca="false">Models!F17</f>
        <v>0.841924398625429</v>
      </c>
      <c r="F16" s="60" t="n">
        <f aca="false">Depreciation!$C$32</f>
        <v>95000</v>
      </c>
      <c r="G16" s="47" t="n">
        <f aca="false">MIN($D16,$D16*Depreciation!$E$32*$E16)</f>
        <v>14309.9269474978</v>
      </c>
      <c r="H16" s="48" t="n">
        <f aca="false">IFERROR(($D16-G16)/(1*Inputs!$C$5),0)</f>
        <v>0.321637691863677</v>
      </c>
      <c r="I16" s="60" t="n">
        <f aca="false">Depreciation!$C$33</f>
        <v>150000</v>
      </c>
      <c r="J16" s="47" t="n">
        <f aca="false">MIN($D16,$D16*Depreciation!$E$33*$E16)</f>
        <v>8270.55976574649</v>
      </c>
      <c r="K16" s="48" t="n">
        <f aca="false">IFERROR(($D16-J16)/(2*Inputs!$C$5),0)</f>
        <v>0.215722183947759</v>
      </c>
      <c r="L16" s="60" t="n">
        <f aca="false">Depreciation!$C$34</f>
        <v>177500</v>
      </c>
      <c r="M16" s="47" t="n">
        <f aca="false">MIN($D16,$D16*Depreciation!$E$34*$E16)</f>
        <v>7018.35984615735</v>
      </c>
      <c r="N16" s="48" t="n">
        <f aca="false">IFERROR(($D16-M16)/(2.5*Inputs!$C$5),0)</f>
        <v>0.18168465566431</v>
      </c>
      <c r="O16" s="60" t="n">
        <f aca="false">Depreciation!$C$35</f>
        <v>205000</v>
      </c>
      <c r="P16" s="47" t="n">
        <f aca="false">MIN($D16,$D16*Depreciation!$E$35*$E16)</f>
        <v>5812.62374547689</v>
      </c>
      <c r="Q16" s="48" t="n">
        <f aca="false">IFERROR(($D16-P16)/(3*Inputs!$C$5),0)</f>
        <v>0.158711371239534</v>
      </c>
      <c r="R16" s="60" t="n">
        <f aca="false">Depreciation!$C$36</f>
        <v>260000</v>
      </c>
      <c r="S16" s="47" t="n">
        <f aca="false">MIN($D16,$D16*Depreciation!$E$36*$E16)</f>
        <v>4181.74370178193</v>
      </c>
      <c r="T16" s="48" t="n">
        <f aca="false">IFERROR(($D16-S16)/(4*Inputs!$C$5),0)</f>
        <v>0.126446619537355</v>
      </c>
    </row>
    <row r="17" customFormat="false" ht="15" hidden="false" customHeight="false" outlineLevel="0" collapsed="false">
      <c r="A17" s="35" t="s">
        <v>235</v>
      </c>
      <c r="B17" s="35" t="s">
        <v>236</v>
      </c>
      <c r="C17" s="49" t="s">
        <v>478</v>
      </c>
      <c r="D17" s="58" t="n">
        <f aca="false">Models!G18</f>
        <v>38000</v>
      </c>
      <c r="E17" s="59" t="n">
        <f aca="false">Models!F18</f>
        <v>0.841924398625429</v>
      </c>
      <c r="F17" s="60" t="n">
        <f aca="false">Depreciation!$C$32</f>
        <v>95000</v>
      </c>
      <c r="G17" s="47" t="n">
        <f aca="false">MIN($D17,$D17*Depreciation!$E$32*$E17)</f>
        <v>16993.0382501536</v>
      </c>
      <c r="H17" s="48" t="n">
        <f aca="false">IFERROR(($D17-G17)/(1*Inputs!$C$5),0)</f>
        <v>0.381944759088116</v>
      </c>
      <c r="I17" s="60" t="n">
        <f aca="false">Depreciation!$C$33</f>
        <v>150000</v>
      </c>
      <c r="J17" s="47" t="n">
        <f aca="false">MIN($D17,$D17*Depreciation!$E$33*$E17)</f>
        <v>9821.28972182396</v>
      </c>
      <c r="K17" s="48" t="n">
        <f aca="false">IFERROR(($D17-J17)/(2*Inputs!$C$5),0)</f>
        <v>0.256170093437964</v>
      </c>
      <c r="L17" s="60" t="n">
        <f aca="false">Depreciation!$C$34</f>
        <v>177500</v>
      </c>
      <c r="M17" s="47" t="n">
        <f aca="false">MIN($D17,$D17*Depreciation!$E$34*$E17)</f>
        <v>8334.30231731185</v>
      </c>
      <c r="N17" s="48" t="n">
        <f aca="false">IFERROR(($D17-M17)/(2.5*Inputs!$C$5),0)</f>
        <v>0.215750528601368</v>
      </c>
      <c r="O17" s="60" t="n">
        <f aca="false">Depreciation!$C$35</f>
        <v>205000</v>
      </c>
      <c r="P17" s="47" t="n">
        <f aca="false">MIN($D17,$D17*Depreciation!$E$35*$E17)</f>
        <v>6902.49069775381</v>
      </c>
      <c r="Q17" s="48" t="n">
        <f aca="false">IFERROR(($D17-P17)/(3*Inputs!$C$5),0)</f>
        <v>0.188469753346947</v>
      </c>
      <c r="R17" s="60" t="n">
        <f aca="false">Depreciation!$C$36</f>
        <v>260000</v>
      </c>
      <c r="S17" s="47" t="n">
        <f aca="false">MIN($D17,$D17*Depreciation!$E$36*$E17)</f>
        <v>4965.82064586605</v>
      </c>
      <c r="T17" s="48" t="n">
        <f aca="false">IFERROR(($D17-S17)/(4*Inputs!$C$5),0)</f>
        <v>0.150155360700609</v>
      </c>
    </row>
    <row r="18" customFormat="false" ht="15" hidden="false" customHeight="false" outlineLevel="0" collapsed="false">
      <c r="A18" s="35" t="s">
        <v>238</v>
      </c>
      <c r="B18" s="35" t="s">
        <v>239</v>
      </c>
      <c r="C18" s="50" t="s">
        <v>479</v>
      </c>
      <c r="D18" s="58" t="n">
        <f aca="false">Models!G19</f>
        <v>21000</v>
      </c>
      <c r="E18" s="59" t="n">
        <f aca="false">Models!F19</f>
        <v>0.841924398625429</v>
      </c>
      <c r="F18" s="60" t="n">
        <f aca="false">Depreciation!$C$32</f>
        <v>95000</v>
      </c>
      <c r="G18" s="47" t="n">
        <f aca="false">MIN($D18,$D18*Depreciation!$E$32*$E18)</f>
        <v>9390.88955929542</v>
      </c>
      <c r="H18" s="48" t="n">
        <f aca="false">IFERROR(($D18-G18)/(1*Inputs!$C$5),0)</f>
        <v>0.211074735285538</v>
      </c>
      <c r="I18" s="60" t="n">
        <f aca="false">Depreciation!$C$33</f>
        <v>150000</v>
      </c>
      <c r="J18" s="47" t="n">
        <f aca="false">MIN($D18,$D18*Depreciation!$E$33*$E18)</f>
        <v>5427.55484627114</v>
      </c>
      <c r="K18" s="48" t="n">
        <f aca="false">IFERROR(($D18-J18)/(2*Inputs!$C$5),0)</f>
        <v>0.141567683215717</v>
      </c>
      <c r="L18" s="60" t="n">
        <f aca="false">Depreciation!$C$34</f>
        <v>177500</v>
      </c>
      <c r="M18" s="47" t="n">
        <f aca="false">MIN($D18,$D18*Depreciation!$E$34*$E18)</f>
        <v>4605.79864904076</v>
      </c>
      <c r="N18" s="48" t="n">
        <f aca="false">IFERROR(($D18-M18)/(2.5*Inputs!$C$5),0)</f>
        <v>0.119230555279704</v>
      </c>
      <c r="O18" s="60" t="n">
        <f aca="false">Depreciation!$C$35</f>
        <v>205000</v>
      </c>
      <c r="P18" s="47" t="n">
        <f aca="false">MIN($D18,$D18*Depreciation!$E$35*$E18)</f>
        <v>3814.53433296921</v>
      </c>
      <c r="Q18" s="48" t="n">
        <f aca="false">IFERROR(($D18-P18)/(3*Inputs!$C$5),0)</f>
        <v>0.104154337375944</v>
      </c>
      <c r="R18" s="60" t="n">
        <f aca="false">Depreciation!$C$36</f>
        <v>260000</v>
      </c>
      <c r="S18" s="47" t="n">
        <f aca="false">MIN($D18,$D18*Depreciation!$E$36*$E18)</f>
        <v>2744.26930429439</v>
      </c>
      <c r="T18" s="48" t="n">
        <f aca="false">IFERROR(($D18-S18)/(4*Inputs!$C$5),0)</f>
        <v>0.0829805940713891</v>
      </c>
    </row>
    <row r="19" customFormat="false" ht="15" hidden="false" customHeight="false" outlineLevel="0" collapsed="false">
      <c r="A19" s="35" t="s">
        <v>242</v>
      </c>
      <c r="B19" s="35" t="s">
        <v>239</v>
      </c>
      <c r="C19" s="50" t="s">
        <v>479</v>
      </c>
      <c r="D19" s="58" t="n">
        <f aca="false">Models!G20</f>
        <v>19000</v>
      </c>
      <c r="E19" s="59" t="n">
        <f aca="false">Models!F20</f>
        <v>0.841924398625429</v>
      </c>
      <c r="F19" s="60" t="n">
        <f aca="false">Depreciation!$C$32</f>
        <v>95000</v>
      </c>
      <c r="G19" s="47" t="n">
        <f aca="false">MIN($D19,$D19*Depreciation!$E$32*$E19)</f>
        <v>8496.51912507681</v>
      </c>
      <c r="H19" s="48" t="n">
        <f aca="false">IFERROR(($D19-G19)/(1*Inputs!$C$5),0)</f>
        <v>0.190972379544058</v>
      </c>
      <c r="I19" s="60" t="n">
        <f aca="false">Depreciation!$C$33</f>
        <v>150000</v>
      </c>
      <c r="J19" s="47" t="n">
        <f aca="false">MIN($D19,$D19*Depreciation!$E$33*$E19)</f>
        <v>4910.64486091198</v>
      </c>
      <c r="K19" s="48" t="n">
        <f aca="false">IFERROR(($D19-J19)/(2*Inputs!$C$5),0)</f>
        <v>0.128085046718982</v>
      </c>
      <c r="L19" s="60" t="n">
        <f aca="false">Depreciation!$C$34</f>
        <v>177500</v>
      </c>
      <c r="M19" s="47" t="n">
        <f aca="false">MIN($D19,$D19*Depreciation!$E$34*$E19)</f>
        <v>4167.15115865592</v>
      </c>
      <c r="N19" s="48" t="n">
        <f aca="false">IFERROR(($D19-M19)/(2.5*Inputs!$C$5),0)</f>
        <v>0.107875264300684</v>
      </c>
      <c r="O19" s="60" t="n">
        <f aca="false">Depreciation!$C$35</f>
        <v>205000</v>
      </c>
      <c r="P19" s="47" t="n">
        <f aca="false">MIN($D19,$D19*Depreciation!$E$35*$E19)</f>
        <v>3451.2453488769</v>
      </c>
      <c r="Q19" s="48" t="n">
        <f aca="false">IFERROR(($D19-P19)/(3*Inputs!$C$5),0)</f>
        <v>0.0942348766734733</v>
      </c>
      <c r="R19" s="60" t="n">
        <f aca="false">Depreciation!$C$36</f>
        <v>260000</v>
      </c>
      <c r="S19" s="47" t="n">
        <f aca="false">MIN($D19,$D19*Depreciation!$E$36*$E19)</f>
        <v>2482.91032293302</v>
      </c>
      <c r="T19" s="48" t="n">
        <f aca="false">IFERROR(($D19-S19)/(4*Inputs!$C$5),0)</f>
        <v>0.0750776803503045</v>
      </c>
    </row>
    <row r="20" customFormat="false" ht="15" hidden="false" customHeight="false" outlineLevel="0" collapsed="false">
      <c r="A20" s="35" t="s">
        <v>244</v>
      </c>
      <c r="B20" s="35" t="s">
        <v>245</v>
      </c>
      <c r="C20" s="49" t="s">
        <v>478</v>
      </c>
      <c r="D20" s="58" t="n">
        <f aca="false">Models!G21</f>
        <v>34000</v>
      </c>
      <c r="E20" s="59" t="n">
        <f aca="false">Models!F21</f>
        <v>1.10652920962199</v>
      </c>
      <c r="F20" s="60" t="n">
        <f aca="false">Depreciation!$C$32</f>
        <v>95000</v>
      </c>
      <c r="G20" s="47" t="n">
        <f aca="false">MIN($D20,$D20*Depreciation!$E$32*$E20)</f>
        <v>19982.7908445415</v>
      </c>
      <c r="H20" s="48" t="n">
        <f aca="false">IFERROR(($D20-G20)/(1*Inputs!$C$5),0)</f>
        <v>0.254858348281063</v>
      </c>
      <c r="I20" s="60" t="n">
        <f aca="false">Depreciation!$C$33</f>
        <v>150000</v>
      </c>
      <c r="J20" s="47" t="n">
        <f aca="false">MIN($D20,$D20*Depreciation!$E$33*$E20)</f>
        <v>11549.245958596</v>
      </c>
      <c r="K20" s="48" t="n">
        <f aca="false">IFERROR(($D20-J20)/(2*Inputs!$C$5),0)</f>
        <v>0.204097764012764</v>
      </c>
      <c r="L20" s="60" t="n">
        <f aca="false">Depreciation!$C$34</f>
        <v>177500</v>
      </c>
      <c r="M20" s="47" t="n">
        <f aca="false">MIN($D20,$D20*Depreciation!$E$34*$E20)</f>
        <v>9800.63821374115</v>
      </c>
      <c r="N20" s="48" t="n">
        <f aca="false">IFERROR(($D20-M20)/(2.5*Inputs!$C$5),0)</f>
        <v>0.175995358445519</v>
      </c>
      <c r="O20" s="60" t="n">
        <f aca="false">Depreciation!$C$35</f>
        <v>205000</v>
      </c>
      <c r="P20" s="47" t="n">
        <f aca="false">MIN($D20,$D20*Depreciation!$E$35*$E20)</f>
        <v>8116.91387314808</v>
      </c>
      <c r="Q20" s="48" t="n">
        <f aca="false">IFERROR(($D20-P20)/(3*Inputs!$C$5),0)</f>
        <v>0.156867188647587</v>
      </c>
      <c r="R20" s="60" t="n">
        <f aca="false">Depreciation!$C$36</f>
        <v>260000</v>
      </c>
      <c r="S20" s="47" t="n">
        <f aca="false">MIN($D20,$D20*Depreciation!$E$36*$E20)</f>
        <v>5839.50638355977</v>
      </c>
      <c r="T20" s="48" t="n">
        <f aca="false">IFERROR(($D20-S20)/(4*Inputs!$C$5),0)</f>
        <v>0.128002243711092</v>
      </c>
    </row>
    <row r="21" customFormat="false" ht="15" hidden="false" customHeight="false" outlineLevel="0" collapsed="false">
      <c r="A21" s="35" t="s">
        <v>247</v>
      </c>
      <c r="B21" s="35" t="s">
        <v>248</v>
      </c>
      <c r="C21" s="49" t="s">
        <v>478</v>
      </c>
      <c r="D21" s="58" t="n">
        <f aca="false">Models!G22</f>
        <v>32000</v>
      </c>
      <c r="E21" s="59" t="n">
        <f aca="false">Models!F22</f>
        <v>1.16151202749141</v>
      </c>
      <c r="F21" s="60" t="n">
        <f aca="false">Depreciation!$C$32</f>
        <v>95000</v>
      </c>
      <c r="G21" s="47" t="n">
        <f aca="false">MIN($D21,$D21*Depreciation!$E$32*$E21)</f>
        <v>19741.8584010378</v>
      </c>
      <c r="H21" s="48" t="n">
        <f aca="false">IFERROR(($D21-G21)/(1*Inputs!$C$5),0)</f>
        <v>0.222875301799314</v>
      </c>
      <c r="I21" s="60" t="n">
        <f aca="false">Depreciation!$C$33</f>
        <v>150000</v>
      </c>
      <c r="J21" s="47" t="n">
        <f aca="false">MIN($D21,$D21*Depreciation!$E$33*$E21)</f>
        <v>11409.9967380503</v>
      </c>
      <c r="K21" s="48" t="n">
        <f aca="false">IFERROR(($D21-J21)/(2*Inputs!$C$5),0)</f>
        <v>0.187181847835907</v>
      </c>
      <c r="L21" s="60" t="n">
        <f aca="false">Depreciation!$C$34</f>
        <v>177500</v>
      </c>
      <c r="M21" s="47" t="n">
        <f aca="false">MIN($D21,$D21*Depreciation!$E$34*$E21)</f>
        <v>9682.47195102523</v>
      </c>
      <c r="N21" s="48" t="n">
        <f aca="false">IFERROR(($D21-M21)/(2.5*Inputs!$C$5),0)</f>
        <v>0.162309294901635</v>
      </c>
      <c r="O21" s="60" t="n">
        <f aca="false">Depreciation!$C$35</f>
        <v>205000</v>
      </c>
      <c r="P21" s="47" t="n">
        <f aca="false">MIN($D21,$D21*Depreciation!$E$35*$E21)</f>
        <v>8019.04826927016</v>
      </c>
      <c r="Q21" s="48" t="n">
        <f aca="false">IFERROR(($D21-P21)/(3*Inputs!$C$5),0)</f>
        <v>0.145339101398363</v>
      </c>
      <c r="R21" s="60" t="n">
        <f aca="false">Depreciation!$C$36</f>
        <v>260000</v>
      </c>
      <c r="S21" s="47" t="n">
        <f aca="false">MIN($D21,$D21*Depreciation!$E$36*$E21)</f>
        <v>5769.09947429508</v>
      </c>
      <c r="T21" s="48" t="n">
        <f aca="false">IFERROR(($D21-S21)/(4*Inputs!$C$5),0)</f>
        <v>0.119231366025931</v>
      </c>
    </row>
    <row r="22" customFormat="false" ht="15" hidden="false" customHeight="false" outlineLevel="0" collapsed="false">
      <c r="A22" s="35" t="s">
        <v>253</v>
      </c>
      <c r="B22" s="35" t="s">
        <v>254</v>
      </c>
      <c r="C22" s="50" t="s">
        <v>479</v>
      </c>
      <c r="D22" s="58" t="n">
        <f aca="false">Models!G23</f>
        <v>35000</v>
      </c>
      <c r="E22" s="59" t="n">
        <f aca="false">Models!F23</f>
        <v>0.841924398625429</v>
      </c>
      <c r="F22" s="60" t="n">
        <f aca="false">Depreciation!$C$32</f>
        <v>95000</v>
      </c>
      <c r="G22" s="47" t="n">
        <f aca="false">MIN($D22,$D22*Depreciation!$E$32*$E22)</f>
        <v>15651.4825988257</v>
      </c>
      <c r="H22" s="48" t="n">
        <f aca="false">IFERROR(($D22-G22)/(1*Inputs!$C$5),0)</f>
        <v>0.351791225475896</v>
      </c>
      <c r="I22" s="60" t="n">
        <f aca="false">Depreciation!$C$33</f>
        <v>150000</v>
      </c>
      <c r="J22" s="47" t="n">
        <f aca="false">MIN($D22,$D22*Depreciation!$E$33*$E22)</f>
        <v>9045.92474378523</v>
      </c>
      <c r="K22" s="48" t="n">
        <f aca="false">IFERROR(($D22-J22)/(2*Inputs!$C$5),0)</f>
        <v>0.235946138692862</v>
      </c>
      <c r="L22" s="60" t="n">
        <f aca="false">Depreciation!$C$34</f>
        <v>177500</v>
      </c>
      <c r="M22" s="47" t="n">
        <f aca="false">MIN($D22,$D22*Depreciation!$E$34*$E22)</f>
        <v>7676.3310817346</v>
      </c>
      <c r="N22" s="48" t="n">
        <f aca="false">IFERROR(($D22-M22)/(2.5*Inputs!$C$5),0)</f>
        <v>0.198717592132839</v>
      </c>
      <c r="O22" s="60" t="n">
        <f aca="false">Depreciation!$C$35</f>
        <v>205000</v>
      </c>
      <c r="P22" s="47" t="n">
        <f aca="false">MIN($D22,$D22*Depreciation!$E$35*$E22)</f>
        <v>6357.55722161535</v>
      </c>
      <c r="Q22" s="48" t="n">
        <f aca="false">IFERROR(($D22-P22)/(3*Inputs!$C$5),0)</f>
        <v>0.17359056229324</v>
      </c>
      <c r="R22" s="60" t="n">
        <f aca="false">Depreciation!$C$36</f>
        <v>260000</v>
      </c>
      <c r="S22" s="47" t="n">
        <f aca="false">MIN($D22,$D22*Depreciation!$E$36*$E22)</f>
        <v>4573.78217382399</v>
      </c>
      <c r="T22" s="48" t="n">
        <f aca="false">IFERROR(($D22-S22)/(4*Inputs!$C$5),0)</f>
        <v>0.138300990118982</v>
      </c>
    </row>
    <row r="23" customFormat="false" ht="15" hidden="false" customHeight="false" outlineLevel="0" collapsed="false">
      <c r="A23" s="35" t="s">
        <v>257</v>
      </c>
      <c r="B23" s="35" t="s">
        <v>236</v>
      </c>
      <c r="C23" s="50" t="s">
        <v>479</v>
      </c>
      <c r="D23" s="58" t="n">
        <f aca="false">Models!G24</f>
        <v>32000</v>
      </c>
      <c r="E23" s="59" t="n">
        <f aca="false">Models!F24</f>
        <v>0.841924398625429</v>
      </c>
      <c r="F23" s="60" t="n">
        <f aca="false">Depreciation!$C$32</f>
        <v>95000</v>
      </c>
      <c r="G23" s="47" t="n">
        <f aca="false">MIN($D23,$D23*Depreciation!$E$32*$E23)</f>
        <v>14309.9269474978</v>
      </c>
      <c r="H23" s="48" t="n">
        <f aca="false">IFERROR(($D23-G23)/(1*Inputs!$C$5),0)</f>
        <v>0.321637691863677</v>
      </c>
      <c r="I23" s="60" t="n">
        <f aca="false">Depreciation!$C$33</f>
        <v>150000</v>
      </c>
      <c r="J23" s="47" t="n">
        <f aca="false">MIN($D23,$D23*Depreciation!$E$33*$E23)</f>
        <v>8270.55976574649</v>
      </c>
      <c r="K23" s="48" t="n">
        <f aca="false">IFERROR(($D23-J23)/(2*Inputs!$C$5),0)</f>
        <v>0.215722183947759</v>
      </c>
      <c r="L23" s="60" t="n">
        <f aca="false">Depreciation!$C$34</f>
        <v>177500</v>
      </c>
      <c r="M23" s="47" t="n">
        <f aca="false">MIN($D23,$D23*Depreciation!$E$34*$E23)</f>
        <v>7018.35984615735</v>
      </c>
      <c r="N23" s="48" t="n">
        <f aca="false">IFERROR(($D23-M23)/(2.5*Inputs!$C$5),0)</f>
        <v>0.18168465566431</v>
      </c>
      <c r="O23" s="60" t="n">
        <f aca="false">Depreciation!$C$35</f>
        <v>205000</v>
      </c>
      <c r="P23" s="47" t="n">
        <f aca="false">MIN($D23,$D23*Depreciation!$E$35*$E23)</f>
        <v>5812.62374547689</v>
      </c>
      <c r="Q23" s="48" t="n">
        <f aca="false">IFERROR(($D23-P23)/(3*Inputs!$C$5),0)</f>
        <v>0.158711371239534</v>
      </c>
      <c r="R23" s="60" t="n">
        <f aca="false">Depreciation!$C$36</f>
        <v>260000</v>
      </c>
      <c r="S23" s="47" t="n">
        <f aca="false">MIN($D23,$D23*Depreciation!$E$36*$E23)</f>
        <v>4181.74370178193</v>
      </c>
      <c r="T23" s="48" t="n">
        <f aca="false">IFERROR(($D23-S23)/(4*Inputs!$C$5),0)</f>
        <v>0.126446619537355</v>
      </c>
    </row>
    <row r="24" customFormat="false" ht="15" hidden="false" customHeight="false" outlineLevel="0" collapsed="false">
      <c r="A24" s="35" t="s">
        <v>259</v>
      </c>
      <c r="B24" s="35" t="s">
        <v>236</v>
      </c>
      <c r="C24" s="49" t="s">
        <v>478</v>
      </c>
      <c r="D24" s="58" t="n">
        <f aca="false">Models!G25</f>
        <v>31000</v>
      </c>
      <c r="E24" s="59" t="n">
        <f aca="false">Models!F25</f>
        <v>0.841924398625429</v>
      </c>
      <c r="F24" s="60" t="n">
        <f aca="false">Depreciation!$C$32</f>
        <v>95000</v>
      </c>
      <c r="G24" s="47" t="n">
        <f aca="false">MIN($D24,$D24*Depreciation!$E$32*$E24)</f>
        <v>13862.7417303885</v>
      </c>
      <c r="H24" s="48" t="n">
        <f aca="false">IFERROR(($D24-G24)/(1*Inputs!$C$5),0)</f>
        <v>0.311586513992937</v>
      </c>
      <c r="I24" s="60" t="n">
        <f aca="false">Depreciation!$C$33</f>
        <v>150000</v>
      </c>
      <c r="J24" s="47" t="n">
        <f aca="false">MIN($D24,$D24*Depreciation!$E$33*$E24)</f>
        <v>8012.10477306691</v>
      </c>
      <c r="K24" s="48" t="n">
        <f aca="false">IFERROR(($D24-J24)/(2*Inputs!$C$5),0)</f>
        <v>0.208980865699392</v>
      </c>
      <c r="L24" s="60" t="n">
        <f aca="false">Depreciation!$C$34</f>
        <v>177500</v>
      </c>
      <c r="M24" s="47" t="n">
        <f aca="false">MIN($D24,$D24*Depreciation!$E$34*$E24)</f>
        <v>6799.03610096493</v>
      </c>
      <c r="N24" s="48" t="n">
        <f aca="false">IFERROR(($D24-M24)/(2.5*Inputs!$C$5),0)</f>
        <v>0.176007010174801</v>
      </c>
      <c r="O24" s="60" t="n">
        <f aca="false">Depreciation!$C$35</f>
        <v>205000</v>
      </c>
      <c r="P24" s="47" t="n">
        <f aca="false">MIN($D24,$D24*Depreciation!$E$35*$E24)</f>
        <v>5630.97925343074</v>
      </c>
      <c r="Q24" s="48" t="n">
        <f aca="false">IFERROR(($D24-P24)/(3*Inputs!$C$5),0)</f>
        <v>0.153751640888299</v>
      </c>
      <c r="R24" s="60" t="n">
        <f aca="false">Depreciation!$C$36</f>
        <v>260000</v>
      </c>
      <c r="S24" s="47" t="n">
        <f aca="false">MIN($D24,$D24*Depreciation!$E$36*$E24)</f>
        <v>4051.06421110125</v>
      </c>
      <c r="T24" s="48" t="n">
        <f aca="false">IFERROR(($D24-S24)/(4*Inputs!$C$5),0)</f>
        <v>0.122495162676813</v>
      </c>
    </row>
    <row r="25" customFormat="false" ht="15" hidden="false" customHeight="false" outlineLevel="0" collapsed="false">
      <c r="A25" s="35" t="s">
        <v>262</v>
      </c>
      <c r="B25" s="35" t="s">
        <v>236</v>
      </c>
      <c r="C25" s="49" t="s">
        <v>478</v>
      </c>
      <c r="D25" s="58" t="n">
        <f aca="false">Models!G26</f>
        <v>30000</v>
      </c>
      <c r="E25" s="59" t="n">
        <f aca="false">Models!F26</f>
        <v>0.841924398625429</v>
      </c>
      <c r="F25" s="60" t="n">
        <f aca="false">Depreciation!$C$32</f>
        <v>95000</v>
      </c>
      <c r="G25" s="47" t="n">
        <f aca="false">MIN($D25,$D25*Depreciation!$E$32*$E25)</f>
        <v>13415.5565132792</v>
      </c>
      <c r="H25" s="48" t="n">
        <f aca="false">IFERROR(($D25-G25)/(1*Inputs!$C$5),0)</f>
        <v>0.301535336122197</v>
      </c>
      <c r="I25" s="60" t="n">
        <f aca="false">Depreciation!$C$33</f>
        <v>150000</v>
      </c>
      <c r="J25" s="47" t="n">
        <f aca="false">MIN($D25,$D25*Depreciation!$E$33*$E25)</f>
        <v>7753.64978038734</v>
      </c>
      <c r="K25" s="48" t="n">
        <f aca="false">IFERROR(($D25-J25)/(2*Inputs!$C$5),0)</f>
        <v>0.202239547451024</v>
      </c>
      <c r="L25" s="60" t="n">
        <f aca="false">Depreciation!$C$34</f>
        <v>177500</v>
      </c>
      <c r="M25" s="47" t="n">
        <f aca="false">MIN($D25,$D25*Depreciation!$E$34*$E25)</f>
        <v>6579.71235577251</v>
      </c>
      <c r="N25" s="48" t="n">
        <f aca="false">IFERROR(($D25-M25)/(2.5*Inputs!$C$5),0)</f>
        <v>0.170329364685291</v>
      </c>
      <c r="O25" s="60" t="n">
        <f aca="false">Depreciation!$C$35</f>
        <v>205000</v>
      </c>
      <c r="P25" s="47" t="n">
        <f aca="false">MIN($D25,$D25*Depreciation!$E$35*$E25)</f>
        <v>5449.33476138458</v>
      </c>
      <c r="Q25" s="48" t="n">
        <f aca="false">IFERROR(($D25-P25)/(3*Inputs!$C$5),0)</f>
        <v>0.148791910537063</v>
      </c>
      <c r="R25" s="60" t="n">
        <f aca="false">Depreciation!$C$36</f>
        <v>260000</v>
      </c>
      <c r="S25" s="47" t="n">
        <f aca="false">MIN($D25,$D25*Depreciation!$E$36*$E25)</f>
        <v>3920.38472042056</v>
      </c>
      <c r="T25" s="48" t="n">
        <f aca="false">IFERROR(($D25-S25)/(4*Inputs!$C$5),0)</f>
        <v>0.11854370581627</v>
      </c>
    </row>
    <row r="26" customFormat="false" ht="15" hidden="false" customHeight="false" outlineLevel="0" collapsed="false">
      <c r="A26" s="35" t="s">
        <v>264</v>
      </c>
      <c r="B26" s="35" t="s">
        <v>265</v>
      </c>
      <c r="C26" s="37" t="s">
        <v>477</v>
      </c>
      <c r="D26" s="58" t="n">
        <f aca="false">Models!G27</f>
        <v>33000</v>
      </c>
      <c r="E26" s="59" t="n">
        <f aca="false">Models!F27</f>
        <v>0.922680412371134</v>
      </c>
      <c r="F26" s="60" t="n">
        <f aca="false">Depreciation!$C$32</f>
        <v>95000</v>
      </c>
      <c r="G26" s="47" t="n">
        <f aca="false">MIN($D26,$D26*Depreciation!$E$32*$E26)</f>
        <v>16172.5902701918</v>
      </c>
      <c r="H26" s="48" t="n">
        <f aca="false">IFERROR(($D26-G26)/(1*Inputs!$C$5),0)</f>
        <v>0.30595290417833</v>
      </c>
      <c r="I26" s="60" t="n">
        <f aca="false">Depreciation!$C$33</f>
        <v>150000</v>
      </c>
      <c r="J26" s="47" t="n">
        <f aca="false">MIN($D26,$D26*Depreciation!$E$33*$E26)</f>
        <v>9347.10392913224</v>
      </c>
      <c r="K26" s="48" t="n">
        <f aca="false">IFERROR(($D26-J26)/(2*Inputs!$C$5),0)</f>
        <v>0.21502632791698</v>
      </c>
      <c r="L26" s="60" t="n">
        <f aca="false">Depreciation!$C$34</f>
        <v>177500</v>
      </c>
      <c r="M26" s="47" t="n">
        <f aca="false">MIN($D26,$D26*Depreciation!$E$34*$E26)</f>
        <v>7931.91038480576</v>
      </c>
      <c r="N26" s="48" t="n">
        <f aca="false">IFERROR(($D26-M26)/(2.5*Inputs!$C$5),0)</f>
        <v>0.182313379019594</v>
      </c>
      <c r="O26" s="60" t="n">
        <f aca="false">Depreciation!$C$35</f>
        <v>205000</v>
      </c>
      <c r="P26" s="47" t="n">
        <f aca="false">MIN($D26,$D26*Depreciation!$E$35*$E26)</f>
        <v>6569.22866030586</v>
      </c>
      <c r="Q26" s="48" t="n">
        <f aca="false">IFERROR(($D26-P26)/(3*Inputs!$C$5),0)</f>
        <v>0.160186492967843</v>
      </c>
      <c r="R26" s="60" t="n">
        <f aca="false">Depreciation!$C$36</f>
        <v>260000</v>
      </c>
      <c r="S26" s="47" t="n">
        <f aca="false">MIN($D26,$D26*Depreciation!$E$36*$E26)</f>
        <v>4726.06378439271</v>
      </c>
      <c r="T26" s="48" t="n">
        <f aca="false">IFERROR(($D26-S26)/(4*Inputs!$C$5),0)</f>
        <v>0.128517891889124</v>
      </c>
    </row>
    <row r="27" customFormat="false" ht="15" hidden="false" customHeight="false" outlineLevel="0" collapsed="false">
      <c r="A27" s="35" t="s">
        <v>267</v>
      </c>
      <c r="B27" s="35" t="s">
        <v>236</v>
      </c>
      <c r="C27" s="37" t="s">
        <v>477</v>
      </c>
      <c r="D27" s="58" t="n">
        <f aca="false">Models!G28</f>
        <v>45000</v>
      </c>
      <c r="E27" s="59" t="n">
        <f aca="false">Models!F28</f>
        <v>1.06529209621993</v>
      </c>
      <c r="F27" s="60" t="n">
        <f aca="false">Depreciation!$C$32</f>
        <v>95000</v>
      </c>
      <c r="G27" s="47" t="n">
        <f aca="false">MIN($D27,$D27*Depreciation!$E$32*$E27)</f>
        <v>25462.1786884686</v>
      </c>
      <c r="H27" s="48" t="n">
        <f aca="false">IFERROR(($D27-G27)/(1*Inputs!$C$5),0)</f>
        <v>0.355233114755116</v>
      </c>
      <c r="I27" s="60" t="n">
        <f aca="false">Depreciation!$C$33</f>
        <v>150000</v>
      </c>
      <c r="J27" s="47" t="n">
        <f aca="false">MIN($D27,$D27*Depreciation!$E$33*$E27)</f>
        <v>14716.1108076739</v>
      </c>
      <c r="K27" s="48" t="n">
        <f aca="false">IFERROR(($D27-J27)/(2*Inputs!$C$5),0)</f>
        <v>0.275308083566601</v>
      </c>
      <c r="L27" s="60" t="n">
        <f aca="false">Depreciation!$C$34</f>
        <v>177500</v>
      </c>
      <c r="M27" s="47" t="n">
        <f aca="false">MIN($D27,$D27*Depreciation!$E$34*$E27)</f>
        <v>12488.0254915682</v>
      </c>
      <c r="N27" s="48" t="n">
        <f aca="false">IFERROR(($D27-M27)/(2.5*Inputs!$C$5),0)</f>
        <v>0.236450723697686</v>
      </c>
      <c r="O27" s="60" t="n">
        <f aca="false">Depreciation!$C$35</f>
        <v>205000</v>
      </c>
      <c r="P27" s="47" t="n">
        <f aca="false">MIN($D27,$D27*Depreciation!$E$35*$E27)</f>
        <v>10342.6149552809</v>
      </c>
      <c r="Q27" s="48" t="n">
        <f aca="false">IFERROR(($D27-P27)/(3*Inputs!$C$5),0)</f>
        <v>0.210044757846782</v>
      </c>
      <c r="R27" s="60" t="n">
        <f aca="false">Depreciation!$C$36</f>
        <v>260000</v>
      </c>
      <c r="S27" s="47" t="n">
        <f aca="false">MIN($D27,$D27*Depreciation!$E$36*$E27)</f>
        <v>7440.73018365535</v>
      </c>
      <c r="T27" s="48" t="n">
        <f aca="false">IFERROR(($D27-S27)/(4*Inputs!$C$5),0)</f>
        <v>0.170723953710658</v>
      </c>
    </row>
    <row r="28" customFormat="false" ht="15" hidden="false" customHeight="false" outlineLevel="0" collapsed="false">
      <c r="A28" s="35" t="s">
        <v>270</v>
      </c>
      <c r="B28" s="35" t="s">
        <v>236</v>
      </c>
      <c r="C28" s="37" t="s">
        <v>477</v>
      </c>
      <c r="D28" s="58" t="n">
        <f aca="false">Models!G29</f>
        <v>37000</v>
      </c>
      <c r="E28" s="59" t="n">
        <f aca="false">Models!F29</f>
        <v>0.994845360824742</v>
      </c>
      <c r="F28" s="60" t="n">
        <f aca="false">Depreciation!$C$32</f>
        <v>95000</v>
      </c>
      <c r="G28" s="47" t="n">
        <f aca="false">MIN($D28,$D28*Depreciation!$E$32*$E28)</f>
        <v>19551.1202165973</v>
      </c>
      <c r="H28" s="48" t="n">
        <f aca="false">IFERROR(($D28-G28)/(1*Inputs!$C$5),0)</f>
        <v>0.317252359698232</v>
      </c>
      <c r="I28" s="60" t="n">
        <f aca="false">Depreciation!$C$33</f>
        <v>150000</v>
      </c>
      <c r="J28" s="47" t="n">
        <f aca="false">MIN($D28,$D28*Depreciation!$E$33*$E28)</f>
        <v>11299.7577717849</v>
      </c>
      <c r="K28" s="48" t="n">
        <f aca="false">IFERROR(($D28-J28)/(2*Inputs!$C$5),0)</f>
        <v>0.233638565711046</v>
      </c>
      <c r="L28" s="60" t="n">
        <f aca="false">Depreciation!$C$34</f>
        <v>177500</v>
      </c>
      <c r="M28" s="47" t="n">
        <f aca="false">MIN($D28,$D28*Depreciation!$E$34*$E28)</f>
        <v>9588.92365970847</v>
      </c>
      <c r="N28" s="48" t="n">
        <f aca="false">IFERROR(($D28-M28)/(2.5*Inputs!$C$5),0)</f>
        <v>0.199353282474848</v>
      </c>
      <c r="O28" s="60" t="n">
        <f aca="false">Depreciation!$C$35</f>
        <v>205000</v>
      </c>
      <c r="P28" s="47" t="n">
        <f aca="false">MIN($D28,$D28*Depreciation!$E$35*$E28)</f>
        <v>7941.5713328668</v>
      </c>
      <c r="Q28" s="48" t="n">
        <f aca="false">IFERROR(($D28-P28)/(3*Inputs!$C$5),0)</f>
        <v>0.176111688891716</v>
      </c>
      <c r="R28" s="60" t="n">
        <f aca="false">Depreciation!$C$36</f>
        <v>260000</v>
      </c>
      <c r="S28" s="47" t="n">
        <f aca="false">MIN($D28,$D28*Depreciation!$E$36*$E28)</f>
        <v>5713.36067112719</v>
      </c>
      <c r="T28" s="48" t="n">
        <f aca="false">IFERROR(($D28-S28)/(4*Inputs!$C$5),0)</f>
        <v>0.142211996949422</v>
      </c>
    </row>
    <row r="29" customFormat="false" ht="15" hidden="false" customHeight="false" outlineLevel="0" collapsed="false">
      <c r="A29" s="35" t="s">
        <v>273</v>
      </c>
      <c r="B29" s="35" t="s">
        <v>236</v>
      </c>
      <c r="C29" s="37" t="s">
        <v>477</v>
      </c>
      <c r="D29" s="58" t="n">
        <f aca="false">Models!G30</f>
        <v>36000</v>
      </c>
      <c r="E29" s="59" t="n">
        <f aca="false">Models!F30</f>
        <v>1.06529209621993</v>
      </c>
      <c r="F29" s="60" t="n">
        <f aca="false">Depreciation!$C$32</f>
        <v>95000</v>
      </c>
      <c r="G29" s="47" t="n">
        <f aca="false">MIN($D29,$D29*Depreciation!$E$32*$E29)</f>
        <v>20369.7429507749</v>
      </c>
      <c r="H29" s="48" t="n">
        <f aca="false">IFERROR(($D29-G29)/(1*Inputs!$C$5),0)</f>
        <v>0.284186491804093</v>
      </c>
      <c r="I29" s="60" t="n">
        <f aca="false">Depreciation!$C$33</f>
        <v>150000</v>
      </c>
      <c r="J29" s="47" t="n">
        <f aca="false">MIN($D29,$D29*Depreciation!$E$33*$E29)</f>
        <v>11772.8886461391</v>
      </c>
      <c r="K29" s="48" t="n">
        <f aca="false">IFERROR(($D29-J29)/(2*Inputs!$C$5),0)</f>
        <v>0.220246466853281</v>
      </c>
      <c r="L29" s="60" t="n">
        <f aca="false">Depreciation!$C$34</f>
        <v>177500</v>
      </c>
      <c r="M29" s="47" t="n">
        <f aca="false">MIN($D29,$D29*Depreciation!$E$34*$E29)</f>
        <v>9990.42039325459</v>
      </c>
      <c r="N29" s="48" t="n">
        <f aca="false">IFERROR(($D29-M29)/(2.5*Inputs!$C$5),0)</f>
        <v>0.189160578958148</v>
      </c>
      <c r="O29" s="60" t="n">
        <f aca="false">Depreciation!$C$35</f>
        <v>205000</v>
      </c>
      <c r="P29" s="47" t="n">
        <f aca="false">MIN($D29,$D29*Depreciation!$E$35*$E29)</f>
        <v>8274.09196422476</v>
      </c>
      <c r="Q29" s="48" t="n">
        <f aca="false">IFERROR(($D29-P29)/(3*Inputs!$C$5),0)</f>
        <v>0.168035806277426</v>
      </c>
      <c r="R29" s="60" t="n">
        <f aca="false">Depreciation!$C$36</f>
        <v>260000</v>
      </c>
      <c r="S29" s="47" t="n">
        <f aca="false">MIN($D29,$D29*Depreciation!$E$36*$E29)</f>
        <v>5952.58414692428</v>
      </c>
      <c r="T29" s="48" t="n">
        <f aca="false">IFERROR(($D29-S29)/(4*Inputs!$C$5),0)</f>
        <v>0.136579162968526</v>
      </c>
    </row>
    <row r="30" customFormat="false" ht="15" hidden="false" customHeight="false" outlineLevel="0" collapsed="false">
      <c r="A30" s="35" t="s">
        <v>276</v>
      </c>
      <c r="B30" s="35" t="s">
        <v>236</v>
      </c>
      <c r="C30" s="49" t="s">
        <v>478</v>
      </c>
      <c r="D30" s="58" t="n">
        <f aca="false">Models!G31</f>
        <v>34000</v>
      </c>
      <c r="E30" s="59" t="n">
        <f aca="false">Models!F31</f>
        <v>0.841924398625429</v>
      </c>
      <c r="F30" s="60" t="n">
        <f aca="false">Depreciation!$C$32</f>
        <v>95000</v>
      </c>
      <c r="G30" s="47" t="n">
        <f aca="false">MIN($D30,$D30*Depreciation!$E$32*$E30)</f>
        <v>15204.2973817164</v>
      </c>
      <c r="H30" s="48" t="n">
        <f aca="false">IFERROR(($D30-G30)/(1*Inputs!$C$5),0)</f>
        <v>0.341740047605157</v>
      </c>
      <c r="I30" s="60" t="n">
        <f aca="false">Depreciation!$C$33</f>
        <v>150000</v>
      </c>
      <c r="J30" s="47" t="n">
        <f aca="false">MIN($D30,$D30*Depreciation!$E$33*$E30)</f>
        <v>8787.46975110565</v>
      </c>
      <c r="K30" s="48" t="n">
        <f aca="false">IFERROR(($D30-J30)/(2*Inputs!$C$5),0)</f>
        <v>0.229204820444494</v>
      </c>
      <c r="L30" s="60" t="n">
        <f aca="false">Depreciation!$C$34</f>
        <v>177500</v>
      </c>
      <c r="M30" s="47" t="n">
        <f aca="false">MIN($D30,$D30*Depreciation!$E$34*$E30)</f>
        <v>7457.00733654218</v>
      </c>
      <c r="N30" s="48" t="n">
        <f aca="false">IFERROR(($D30-M30)/(2.5*Inputs!$C$5),0)</f>
        <v>0.19303994664333</v>
      </c>
      <c r="O30" s="60" t="n">
        <f aca="false">Depreciation!$C$35</f>
        <v>205000</v>
      </c>
      <c r="P30" s="47" t="n">
        <f aca="false">MIN($D30,$D30*Depreciation!$E$35*$E30)</f>
        <v>6175.91272956919</v>
      </c>
      <c r="Q30" s="48" t="n">
        <f aca="false">IFERROR(($D30-P30)/(3*Inputs!$C$5),0)</f>
        <v>0.168630831942005</v>
      </c>
      <c r="R30" s="60" t="n">
        <f aca="false">Depreciation!$C$36</f>
        <v>260000</v>
      </c>
      <c r="S30" s="47" t="n">
        <f aca="false">MIN($D30,$D30*Depreciation!$E$36*$E30)</f>
        <v>4443.10268314331</v>
      </c>
      <c r="T30" s="48" t="n">
        <f aca="false">IFERROR(($D30-S30)/(4*Inputs!$C$5),0)</f>
        <v>0.13434953325844</v>
      </c>
    </row>
    <row r="31" customFormat="false" ht="15" hidden="false" customHeight="false" outlineLevel="0" collapsed="false">
      <c r="A31" s="35" t="s">
        <v>279</v>
      </c>
      <c r="B31" s="35" t="s">
        <v>236</v>
      </c>
      <c r="C31" s="49" t="s">
        <v>478</v>
      </c>
      <c r="D31" s="58" t="n">
        <f aca="false">Models!G32</f>
        <v>33000</v>
      </c>
      <c r="E31" s="59" t="n">
        <f aca="false">Models!F32</f>
        <v>0.841924398625429</v>
      </c>
      <c r="F31" s="60" t="n">
        <f aca="false">Depreciation!$C$32</f>
        <v>95000</v>
      </c>
      <c r="G31" s="47" t="n">
        <f aca="false">MIN($D31,$D31*Depreciation!$E$32*$E31)</f>
        <v>14757.1121646071</v>
      </c>
      <c r="H31" s="48" t="n">
        <f aca="false">IFERROR(($D31-G31)/(1*Inputs!$C$5),0)</f>
        <v>0.331688869734417</v>
      </c>
      <c r="I31" s="60" t="n">
        <f aca="false">Depreciation!$C$33</f>
        <v>150000</v>
      </c>
      <c r="J31" s="47" t="n">
        <f aca="false">MIN($D31,$D31*Depreciation!$E$33*$E31)</f>
        <v>8529.01475842607</v>
      </c>
      <c r="K31" s="48" t="n">
        <f aca="false">IFERROR(($D31-J31)/(2*Inputs!$C$5),0)</f>
        <v>0.222463502196127</v>
      </c>
      <c r="L31" s="60" t="n">
        <f aca="false">Depreciation!$C$34</f>
        <v>177500</v>
      </c>
      <c r="M31" s="47" t="n">
        <f aca="false">MIN($D31,$D31*Depreciation!$E$34*$E31)</f>
        <v>7237.68359134976</v>
      </c>
      <c r="N31" s="48" t="n">
        <f aca="false">IFERROR(($D31-M31)/(2.5*Inputs!$C$5),0)</f>
        <v>0.18736230115382</v>
      </c>
      <c r="O31" s="60" t="n">
        <f aca="false">Depreciation!$C$35</f>
        <v>205000</v>
      </c>
      <c r="P31" s="47" t="n">
        <f aca="false">MIN($D31,$D31*Depreciation!$E$35*$E31)</f>
        <v>5994.26823752304</v>
      </c>
      <c r="Q31" s="48" t="n">
        <f aca="false">IFERROR(($D31-P31)/(3*Inputs!$C$5),0)</f>
        <v>0.163671101590769</v>
      </c>
      <c r="R31" s="60" t="n">
        <f aca="false">Depreciation!$C$36</f>
        <v>260000</v>
      </c>
      <c r="S31" s="47" t="n">
        <f aca="false">MIN($D31,$D31*Depreciation!$E$36*$E31)</f>
        <v>4312.42319246262</v>
      </c>
      <c r="T31" s="48" t="n">
        <f aca="false">IFERROR(($D31-S31)/(4*Inputs!$C$5),0)</f>
        <v>0.130398076397897</v>
      </c>
    </row>
    <row r="32" customFormat="false" ht="15" hidden="false" customHeight="false" outlineLevel="0" collapsed="false">
      <c r="A32" s="35" t="s">
        <v>282</v>
      </c>
      <c r="B32" s="35" t="s">
        <v>236</v>
      </c>
      <c r="C32" s="49" t="s">
        <v>478</v>
      </c>
      <c r="D32" s="58" t="n">
        <f aca="false">Models!G33</f>
        <v>28000</v>
      </c>
      <c r="E32" s="59" t="n">
        <f aca="false">Models!F33</f>
        <v>0.841924398625429</v>
      </c>
      <c r="F32" s="60" t="n">
        <f aca="false">Depreciation!$C$32</f>
        <v>95000</v>
      </c>
      <c r="G32" s="47" t="n">
        <f aca="false">MIN($D32,$D32*Depreciation!$E$32*$E32)</f>
        <v>12521.1860790606</v>
      </c>
      <c r="H32" s="48" t="n">
        <f aca="false">IFERROR(($D32-G32)/(1*Inputs!$C$5),0)</f>
        <v>0.281432980380717</v>
      </c>
      <c r="I32" s="60" t="n">
        <f aca="false">Depreciation!$C$33</f>
        <v>150000</v>
      </c>
      <c r="J32" s="47" t="n">
        <f aca="false">MIN($D32,$D32*Depreciation!$E$33*$E32)</f>
        <v>7236.73979502818</v>
      </c>
      <c r="K32" s="48" t="n">
        <f aca="false">IFERROR(($D32-J32)/(2*Inputs!$C$5),0)</f>
        <v>0.188756910954289</v>
      </c>
      <c r="L32" s="60" t="n">
        <f aca="false">Depreciation!$C$34</f>
        <v>177500</v>
      </c>
      <c r="M32" s="47" t="n">
        <f aca="false">MIN($D32,$D32*Depreciation!$E$34*$E32)</f>
        <v>6141.06486538768</v>
      </c>
      <c r="N32" s="48" t="n">
        <f aca="false">IFERROR(($D32-M32)/(2.5*Inputs!$C$5),0)</f>
        <v>0.158974073706271</v>
      </c>
      <c r="O32" s="60" t="n">
        <f aca="false">Depreciation!$C$35</f>
        <v>205000</v>
      </c>
      <c r="P32" s="47" t="n">
        <f aca="false">MIN($D32,$D32*Depreciation!$E$35*$E32)</f>
        <v>5086.04577729228</v>
      </c>
      <c r="Q32" s="48" t="n">
        <f aca="false">IFERROR(($D32-P32)/(3*Inputs!$C$5),0)</f>
        <v>0.138872449834592</v>
      </c>
      <c r="R32" s="60" t="n">
        <f aca="false">Depreciation!$C$36</f>
        <v>260000</v>
      </c>
      <c r="S32" s="47" t="n">
        <f aca="false">MIN($D32,$D32*Depreciation!$E$36*$E32)</f>
        <v>3659.02573905919</v>
      </c>
      <c r="T32" s="48" t="n">
        <f aca="false">IFERROR(($D32-S32)/(4*Inputs!$C$5),0)</f>
        <v>0.110640792095186</v>
      </c>
    </row>
    <row r="33" customFormat="false" ht="15" hidden="false" customHeight="false" outlineLevel="0" collapsed="false">
      <c r="A33" s="35" t="s">
        <v>284</v>
      </c>
      <c r="B33" s="35" t="s">
        <v>236</v>
      </c>
      <c r="C33" s="50" t="s">
        <v>479</v>
      </c>
      <c r="D33" s="58" t="n">
        <f aca="false">Models!G34</f>
        <v>40000</v>
      </c>
      <c r="E33" s="59" t="n">
        <f aca="false">Models!F34</f>
        <v>0.841924398625429</v>
      </c>
      <c r="F33" s="60" t="n">
        <f aca="false">Depreciation!$C$32</f>
        <v>95000</v>
      </c>
      <c r="G33" s="47" t="n">
        <f aca="false">MIN($D33,$D33*Depreciation!$E$32*$E33)</f>
        <v>17887.4086843722</v>
      </c>
      <c r="H33" s="48" t="n">
        <f aca="false">IFERROR(($D33-G33)/(1*Inputs!$C$5),0)</f>
        <v>0.402047114829596</v>
      </c>
      <c r="I33" s="60" t="n">
        <f aca="false">Depreciation!$C$33</f>
        <v>150000</v>
      </c>
      <c r="J33" s="47" t="n">
        <f aca="false">MIN($D33,$D33*Depreciation!$E$33*$E33)</f>
        <v>10338.1997071831</v>
      </c>
      <c r="K33" s="48" t="n">
        <f aca="false">IFERROR(($D33-J33)/(2*Inputs!$C$5),0)</f>
        <v>0.269652729934699</v>
      </c>
      <c r="L33" s="60" t="n">
        <f aca="false">Depreciation!$C$34</f>
        <v>177500</v>
      </c>
      <c r="M33" s="47" t="n">
        <f aca="false">MIN($D33,$D33*Depreciation!$E$34*$E33)</f>
        <v>8772.94980769668</v>
      </c>
      <c r="N33" s="48" t="n">
        <f aca="false">IFERROR(($D33-M33)/(2.5*Inputs!$C$5),0)</f>
        <v>0.227105819580388</v>
      </c>
      <c r="O33" s="60" t="n">
        <f aca="false">Depreciation!$C$35</f>
        <v>205000</v>
      </c>
      <c r="P33" s="47" t="n">
        <f aca="false">MIN($D33,$D33*Depreciation!$E$35*$E33)</f>
        <v>7265.77968184611</v>
      </c>
      <c r="Q33" s="48" t="n">
        <f aca="false">IFERROR(($D33-P33)/(3*Inputs!$C$5),0)</f>
        <v>0.198389214049418</v>
      </c>
      <c r="R33" s="60" t="n">
        <f aca="false">Depreciation!$C$36</f>
        <v>260000</v>
      </c>
      <c r="S33" s="47" t="n">
        <f aca="false">MIN($D33,$D33*Depreciation!$E$36*$E33)</f>
        <v>5227.17962722742</v>
      </c>
      <c r="T33" s="48" t="n">
        <f aca="false">IFERROR(($D33-S33)/(4*Inputs!$C$5),0)</f>
        <v>0.158058274421694</v>
      </c>
    </row>
    <row r="34" customFormat="false" ht="15" hidden="false" customHeight="false" outlineLevel="0" collapsed="false">
      <c r="A34" s="35" t="s">
        <v>286</v>
      </c>
      <c r="B34" s="35" t="s">
        <v>236</v>
      </c>
      <c r="C34" s="49" t="s">
        <v>478</v>
      </c>
      <c r="D34" s="58" t="n">
        <f aca="false">Models!G35</f>
        <v>28000</v>
      </c>
      <c r="E34" s="59" t="n">
        <f aca="false">Models!F35</f>
        <v>0.841924398625429</v>
      </c>
      <c r="F34" s="60" t="n">
        <f aca="false">Depreciation!$C$32</f>
        <v>95000</v>
      </c>
      <c r="G34" s="47" t="n">
        <f aca="false">MIN($D34,$D34*Depreciation!$E$32*$E34)</f>
        <v>12521.1860790606</v>
      </c>
      <c r="H34" s="48" t="n">
        <f aca="false">IFERROR(($D34-G34)/(1*Inputs!$C$5),0)</f>
        <v>0.281432980380717</v>
      </c>
      <c r="I34" s="60" t="n">
        <f aca="false">Depreciation!$C$33</f>
        <v>150000</v>
      </c>
      <c r="J34" s="47" t="n">
        <f aca="false">MIN($D34,$D34*Depreciation!$E$33*$E34)</f>
        <v>7236.73979502818</v>
      </c>
      <c r="K34" s="48" t="n">
        <f aca="false">IFERROR(($D34-J34)/(2*Inputs!$C$5),0)</f>
        <v>0.188756910954289</v>
      </c>
      <c r="L34" s="60" t="n">
        <f aca="false">Depreciation!$C$34</f>
        <v>177500</v>
      </c>
      <c r="M34" s="47" t="n">
        <f aca="false">MIN($D34,$D34*Depreciation!$E$34*$E34)</f>
        <v>6141.06486538768</v>
      </c>
      <c r="N34" s="48" t="n">
        <f aca="false">IFERROR(($D34-M34)/(2.5*Inputs!$C$5),0)</f>
        <v>0.158974073706271</v>
      </c>
      <c r="O34" s="60" t="n">
        <f aca="false">Depreciation!$C$35</f>
        <v>205000</v>
      </c>
      <c r="P34" s="47" t="n">
        <f aca="false">MIN($D34,$D34*Depreciation!$E$35*$E34)</f>
        <v>5086.04577729228</v>
      </c>
      <c r="Q34" s="48" t="n">
        <f aca="false">IFERROR(($D34-P34)/(3*Inputs!$C$5),0)</f>
        <v>0.138872449834592</v>
      </c>
      <c r="R34" s="60" t="n">
        <f aca="false">Depreciation!$C$36</f>
        <v>260000</v>
      </c>
      <c r="S34" s="47" t="n">
        <f aca="false">MIN($D34,$D34*Depreciation!$E$36*$E34)</f>
        <v>3659.02573905919</v>
      </c>
      <c r="T34" s="48" t="n">
        <f aca="false">IFERROR(($D34-S34)/(4*Inputs!$C$5),0)</f>
        <v>0.110640792095186</v>
      </c>
    </row>
    <row r="35" customFormat="false" ht="15" hidden="false" customHeight="false" outlineLevel="0" collapsed="false">
      <c r="A35" s="35" t="s">
        <v>288</v>
      </c>
      <c r="B35" s="35" t="s">
        <v>236</v>
      </c>
      <c r="C35" s="49" t="s">
        <v>478</v>
      </c>
      <c r="D35" s="58" t="n">
        <f aca="false">Models!G36</f>
        <v>29000</v>
      </c>
      <c r="E35" s="59" t="n">
        <f aca="false">Models!F36</f>
        <v>0.841924398625429</v>
      </c>
      <c r="F35" s="60" t="n">
        <f aca="false">Depreciation!$C$32</f>
        <v>95000</v>
      </c>
      <c r="G35" s="47" t="n">
        <f aca="false">MIN($D35,$D35*Depreciation!$E$32*$E35)</f>
        <v>12968.3712961699</v>
      </c>
      <c r="H35" s="48" t="n">
        <f aca="false">IFERROR(($D35-G35)/(1*Inputs!$C$5),0)</f>
        <v>0.291484158251457</v>
      </c>
      <c r="I35" s="60" t="n">
        <f aca="false">Depreciation!$C$33</f>
        <v>150000</v>
      </c>
      <c r="J35" s="47" t="n">
        <f aca="false">MIN($D35,$D35*Depreciation!$E$33*$E35)</f>
        <v>7495.19478770776</v>
      </c>
      <c r="K35" s="48" t="n">
        <f aca="false">IFERROR(($D35-J35)/(2*Inputs!$C$5),0)</f>
        <v>0.195498229202657</v>
      </c>
      <c r="L35" s="60" t="n">
        <f aca="false">Depreciation!$C$34</f>
        <v>177500</v>
      </c>
      <c r="M35" s="47" t="n">
        <f aca="false">MIN($D35,$D35*Depreciation!$E$34*$E35)</f>
        <v>6360.3886105801</v>
      </c>
      <c r="N35" s="48" t="n">
        <f aca="false">IFERROR(($D35-M35)/(2.5*Inputs!$C$5),0)</f>
        <v>0.164651719195781</v>
      </c>
      <c r="O35" s="60" t="n">
        <f aca="false">Depreciation!$C$35</f>
        <v>205000</v>
      </c>
      <c r="P35" s="47" t="n">
        <f aca="false">MIN($D35,$D35*Depreciation!$E$35*$E35)</f>
        <v>5267.69026933843</v>
      </c>
      <c r="Q35" s="48" t="n">
        <f aca="false">IFERROR(($D35-P35)/(3*Inputs!$C$5),0)</f>
        <v>0.143832180185828</v>
      </c>
      <c r="R35" s="60" t="n">
        <f aca="false">Depreciation!$C$36</f>
        <v>260000</v>
      </c>
      <c r="S35" s="47" t="n">
        <f aca="false">MIN($D35,$D35*Depreciation!$E$36*$E35)</f>
        <v>3789.70522973988</v>
      </c>
      <c r="T35" s="48" t="n">
        <f aca="false">IFERROR(($D35-S35)/(4*Inputs!$C$5),0)</f>
        <v>0.114592248955728</v>
      </c>
    </row>
    <row r="36" customFormat="false" ht="15" hidden="false" customHeight="false" outlineLevel="0" collapsed="false">
      <c r="A36" s="35" t="s">
        <v>290</v>
      </c>
      <c r="B36" s="35" t="s">
        <v>236</v>
      </c>
      <c r="C36" s="49" t="s">
        <v>478</v>
      </c>
      <c r="D36" s="58" t="n">
        <f aca="false">Models!G37</f>
        <v>30000</v>
      </c>
      <c r="E36" s="59" t="n">
        <f aca="false">Models!F37</f>
        <v>0.841924398625429</v>
      </c>
      <c r="F36" s="60" t="n">
        <f aca="false">Depreciation!$C$32</f>
        <v>95000</v>
      </c>
      <c r="G36" s="47" t="n">
        <f aca="false">MIN($D36,$D36*Depreciation!$E$32*$E36)</f>
        <v>13415.5565132792</v>
      </c>
      <c r="H36" s="48" t="n">
        <f aca="false">IFERROR(($D36-G36)/(1*Inputs!$C$5),0)</f>
        <v>0.301535336122197</v>
      </c>
      <c r="I36" s="60" t="n">
        <f aca="false">Depreciation!$C$33</f>
        <v>150000</v>
      </c>
      <c r="J36" s="47" t="n">
        <f aca="false">MIN($D36,$D36*Depreciation!$E$33*$E36)</f>
        <v>7753.64978038734</v>
      </c>
      <c r="K36" s="48" t="n">
        <f aca="false">IFERROR(($D36-J36)/(2*Inputs!$C$5),0)</f>
        <v>0.202239547451024</v>
      </c>
      <c r="L36" s="60" t="n">
        <f aca="false">Depreciation!$C$34</f>
        <v>177500</v>
      </c>
      <c r="M36" s="47" t="n">
        <f aca="false">MIN($D36,$D36*Depreciation!$E$34*$E36)</f>
        <v>6579.71235577251</v>
      </c>
      <c r="N36" s="48" t="n">
        <f aca="false">IFERROR(($D36-M36)/(2.5*Inputs!$C$5),0)</f>
        <v>0.170329364685291</v>
      </c>
      <c r="O36" s="60" t="n">
        <f aca="false">Depreciation!$C$35</f>
        <v>205000</v>
      </c>
      <c r="P36" s="47" t="n">
        <f aca="false">MIN($D36,$D36*Depreciation!$E$35*$E36)</f>
        <v>5449.33476138458</v>
      </c>
      <c r="Q36" s="48" t="n">
        <f aca="false">IFERROR(($D36-P36)/(3*Inputs!$C$5),0)</f>
        <v>0.148791910537063</v>
      </c>
      <c r="R36" s="60" t="n">
        <f aca="false">Depreciation!$C$36</f>
        <v>260000</v>
      </c>
      <c r="S36" s="47" t="n">
        <f aca="false">MIN($D36,$D36*Depreciation!$E$36*$E36)</f>
        <v>3920.38472042056</v>
      </c>
      <c r="T36" s="48" t="n">
        <f aca="false">IFERROR(($D36-S36)/(4*Inputs!$C$5),0)</f>
        <v>0.11854370581627</v>
      </c>
    </row>
    <row r="37" customFormat="false" ht="15" hidden="false" customHeight="false" outlineLevel="0" collapsed="false">
      <c r="A37" s="35" t="s">
        <v>292</v>
      </c>
      <c r="B37" s="35" t="s">
        <v>236</v>
      </c>
      <c r="C37" s="49" t="s">
        <v>478</v>
      </c>
      <c r="D37" s="58" t="n">
        <f aca="false">Models!G38</f>
        <v>33000</v>
      </c>
      <c r="E37" s="59" t="n">
        <f aca="false">Models!F38</f>
        <v>0.841924398625429</v>
      </c>
      <c r="F37" s="60" t="n">
        <f aca="false">Depreciation!$C$32</f>
        <v>95000</v>
      </c>
      <c r="G37" s="47" t="n">
        <f aca="false">MIN($D37,$D37*Depreciation!$E$32*$E37)</f>
        <v>14757.1121646071</v>
      </c>
      <c r="H37" s="48" t="n">
        <f aca="false">IFERROR(($D37-G37)/(1*Inputs!$C$5),0)</f>
        <v>0.331688869734417</v>
      </c>
      <c r="I37" s="60" t="n">
        <f aca="false">Depreciation!$C$33</f>
        <v>150000</v>
      </c>
      <c r="J37" s="47" t="n">
        <f aca="false">MIN($D37,$D37*Depreciation!$E$33*$E37)</f>
        <v>8529.01475842607</v>
      </c>
      <c r="K37" s="48" t="n">
        <f aca="false">IFERROR(($D37-J37)/(2*Inputs!$C$5),0)</f>
        <v>0.222463502196127</v>
      </c>
      <c r="L37" s="60" t="n">
        <f aca="false">Depreciation!$C$34</f>
        <v>177500</v>
      </c>
      <c r="M37" s="47" t="n">
        <f aca="false">MIN($D37,$D37*Depreciation!$E$34*$E37)</f>
        <v>7237.68359134976</v>
      </c>
      <c r="N37" s="48" t="n">
        <f aca="false">IFERROR(($D37-M37)/(2.5*Inputs!$C$5),0)</f>
        <v>0.18736230115382</v>
      </c>
      <c r="O37" s="60" t="n">
        <f aca="false">Depreciation!$C$35</f>
        <v>205000</v>
      </c>
      <c r="P37" s="47" t="n">
        <f aca="false">MIN($D37,$D37*Depreciation!$E$35*$E37)</f>
        <v>5994.26823752304</v>
      </c>
      <c r="Q37" s="48" t="n">
        <f aca="false">IFERROR(($D37-P37)/(3*Inputs!$C$5),0)</f>
        <v>0.163671101590769</v>
      </c>
      <c r="R37" s="60" t="n">
        <f aca="false">Depreciation!$C$36</f>
        <v>260000</v>
      </c>
      <c r="S37" s="47" t="n">
        <f aca="false">MIN($D37,$D37*Depreciation!$E$36*$E37)</f>
        <v>4312.42319246262</v>
      </c>
      <c r="T37" s="48" t="n">
        <f aca="false">IFERROR(($D37-S37)/(4*Inputs!$C$5),0)</f>
        <v>0.130398076397897</v>
      </c>
    </row>
    <row r="38" customFormat="false" ht="15" hidden="false" customHeight="false" outlineLevel="0" collapsed="false">
      <c r="A38" s="35" t="s">
        <v>294</v>
      </c>
      <c r="B38" s="35" t="s">
        <v>265</v>
      </c>
      <c r="C38" s="49" t="s">
        <v>478</v>
      </c>
      <c r="D38" s="58" t="n">
        <f aca="false">Models!G39</f>
        <v>26000</v>
      </c>
      <c r="E38" s="59" t="n">
        <f aca="false">Models!F39</f>
        <v>0.841924398625429</v>
      </c>
      <c r="F38" s="60" t="n">
        <f aca="false">Depreciation!$C$32</f>
        <v>95000</v>
      </c>
      <c r="G38" s="47" t="n">
        <f aca="false">MIN($D38,$D38*Depreciation!$E$32*$E38)</f>
        <v>11626.8156448419</v>
      </c>
      <c r="H38" s="48" t="n">
        <f aca="false">IFERROR(($D38-G38)/(1*Inputs!$C$5),0)</f>
        <v>0.261330624639237</v>
      </c>
      <c r="I38" s="60" t="n">
        <f aca="false">Depreciation!$C$33</f>
        <v>150000</v>
      </c>
      <c r="J38" s="47" t="n">
        <f aca="false">MIN($D38,$D38*Depreciation!$E$33*$E38)</f>
        <v>6719.82980966903</v>
      </c>
      <c r="K38" s="48" t="n">
        <f aca="false">IFERROR(($D38-J38)/(2*Inputs!$C$5),0)</f>
        <v>0.175274274457554</v>
      </c>
      <c r="L38" s="60" t="n">
        <f aca="false">Depreciation!$C$34</f>
        <v>177500</v>
      </c>
      <c r="M38" s="47" t="n">
        <f aca="false">MIN($D38,$D38*Depreciation!$E$34*$E38)</f>
        <v>5702.41737500284</v>
      </c>
      <c r="N38" s="48" t="n">
        <f aca="false">IFERROR(($D38-M38)/(2.5*Inputs!$C$5),0)</f>
        <v>0.147618782727252</v>
      </c>
      <c r="O38" s="60" t="n">
        <f aca="false">Depreciation!$C$35</f>
        <v>205000</v>
      </c>
      <c r="P38" s="47" t="n">
        <f aca="false">MIN($D38,$D38*Depreciation!$E$35*$E38)</f>
        <v>4722.75679319997</v>
      </c>
      <c r="Q38" s="48" t="n">
        <f aca="false">IFERROR(($D38-P38)/(3*Inputs!$C$5),0)</f>
        <v>0.128952989132121</v>
      </c>
      <c r="R38" s="60" t="n">
        <f aca="false">Depreciation!$C$36</f>
        <v>260000</v>
      </c>
      <c r="S38" s="47" t="n">
        <f aca="false">MIN($D38,$D38*Depreciation!$E$36*$E38)</f>
        <v>3397.66675769782</v>
      </c>
      <c r="T38" s="48" t="n">
        <f aca="false">IFERROR(($D38-S38)/(4*Inputs!$C$5),0)</f>
        <v>0.102737878374101</v>
      </c>
    </row>
    <row r="39" customFormat="false" ht="15" hidden="false" customHeight="false" outlineLevel="0" collapsed="false">
      <c r="A39" s="35" t="s">
        <v>297</v>
      </c>
      <c r="B39" s="35" t="s">
        <v>239</v>
      </c>
      <c r="C39" s="49" t="s">
        <v>478</v>
      </c>
      <c r="D39" s="58" t="n">
        <f aca="false">Models!G40</f>
        <v>25000</v>
      </c>
      <c r="E39" s="59" t="n">
        <f aca="false">Models!F40</f>
        <v>1.06701030927835</v>
      </c>
      <c r="F39" s="60" t="n">
        <f aca="false">Depreciation!$C$32</f>
        <v>95000</v>
      </c>
      <c r="G39" s="47" t="n">
        <f aca="false">MIN($D39,$D39*Depreciation!$E$32*$E39)</f>
        <v>14168.4703992285</v>
      </c>
      <c r="H39" s="48" t="n">
        <f aca="false">IFERROR(($D39-G39)/(1*Inputs!$C$5),0)</f>
        <v>0.196936901832209</v>
      </c>
      <c r="I39" s="60" t="n">
        <f aca="false">Depreciation!$C$33</f>
        <v>150000</v>
      </c>
      <c r="J39" s="47" t="n">
        <f aca="false">MIN($D39,$D39*Depreciation!$E$33*$E39)</f>
        <v>8188.80359459275</v>
      </c>
      <c r="K39" s="48" t="n">
        <f aca="false">IFERROR(($D39-J39)/(2*Inputs!$C$5),0)</f>
        <v>0.152829058230975</v>
      </c>
      <c r="L39" s="60" t="n">
        <f aca="false">Depreciation!$C$34</f>
        <v>177500</v>
      </c>
      <c r="M39" s="47" t="n">
        <f aca="false">MIN($D39,$D39*Depreciation!$E$34*$E39)</f>
        <v>6948.98192675974</v>
      </c>
      <c r="N39" s="48" t="n">
        <f aca="false">IFERROR(($D39-M39)/(2.5*Inputs!$C$5),0)</f>
        <v>0.131280131441747</v>
      </c>
      <c r="O39" s="60" t="n">
        <f aca="false">Depreciation!$C$35</f>
        <v>205000</v>
      </c>
      <c r="P39" s="47" t="n">
        <f aca="false">MIN($D39,$D39*Depreciation!$E$35*$E39)</f>
        <v>5755.16477350311</v>
      </c>
      <c r="Q39" s="48" t="n">
        <f aca="false">IFERROR(($D39-P39)/(3*Inputs!$C$5),0)</f>
        <v>0.116635365009072</v>
      </c>
      <c r="R39" s="60" t="n">
        <f aca="false">Depreciation!$C$36</f>
        <v>260000</v>
      </c>
      <c r="S39" s="47" t="n">
        <f aca="false">MIN($D39,$D39*Depreciation!$E$36*$E39)</f>
        <v>4140.40631187274</v>
      </c>
      <c r="T39" s="48" t="n">
        <f aca="false">IFERROR(($D39-S39)/(4*Inputs!$C$5),0)</f>
        <v>0.094816334946033</v>
      </c>
    </row>
    <row r="40" customFormat="false" ht="15" hidden="false" customHeight="false" outlineLevel="0" collapsed="false">
      <c r="A40" s="35" t="s">
        <v>299</v>
      </c>
      <c r="B40" s="35" t="s">
        <v>239</v>
      </c>
      <c r="C40" s="37" t="s">
        <v>477</v>
      </c>
      <c r="D40" s="58" t="n">
        <f aca="false">Models!G41</f>
        <v>25000</v>
      </c>
      <c r="E40" s="59" t="n">
        <f aca="false">Models!F41</f>
        <v>0.841924398625429</v>
      </c>
      <c r="F40" s="60" t="n">
        <f aca="false">Depreciation!$C$32</f>
        <v>95000</v>
      </c>
      <c r="G40" s="47" t="n">
        <f aca="false">MIN($D40,$D40*Depreciation!$E$32*$E40)</f>
        <v>11179.6304277326</v>
      </c>
      <c r="H40" s="48" t="n">
        <f aca="false">IFERROR(($D40-G40)/(1*Inputs!$C$5),0)</f>
        <v>0.251279446768497</v>
      </c>
      <c r="I40" s="60" t="n">
        <f aca="false">Depreciation!$C$33</f>
        <v>150000</v>
      </c>
      <c r="J40" s="47" t="n">
        <f aca="false">MIN($D40,$D40*Depreciation!$E$33*$E40)</f>
        <v>6461.37481698945</v>
      </c>
      <c r="K40" s="48" t="n">
        <f aca="false">IFERROR(($D40-J40)/(2*Inputs!$C$5),0)</f>
        <v>0.168532956209187</v>
      </c>
      <c r="L40" s="60" t="n">
        <f aca="false">Depreciation!$C$34</f>
        <v>177500</v>
      </c>
      <c r="M40" s="47" t="n">
        <f aca="false">MIN($D40,$D40*Depreciation!$E$34*$E40)</f>
        <v>5483.09362981043</v>
      </c>
      <c r="N40" s="48" t="n">
        <f aca="false">IFERROR(($D40-M40)/(2.5*Inputs!$C$5),0)</f>
        <v>0.141941137237742</v>
      </c>
      <c r="O40" s="60" t="n">
        <f aca="false">Depreciation!$C$35</f>
        <v>205000</v>
      </c>
      <c r="P40" s="47" t="n">
        <f aca="false">MIN($D40,$D40*Depreciation!$E$35*$E40)</f>
        <v>4541.11230115382</v>
      </c>
      <c r="Q40" s="48" t="n">
        <f aca="false">IFERROR(($D40-P40)/(3*Inputs!$C$5),0)</f>
        <v>0.123993258780886</v>
      </c>
      <c r="R40" s="60" t="n">
        <f aca="false">Depreciation!$C$36</f>
        <v>260000</v>
      </c>
      <c r="S40" s="47" t="n">
        <f aca="false">MIN($D40,$D40*Depreciation!$E$36*$E40)</f>
        <v>3266.98726701714</v>
      </c>
      <c r="T40" s="48" t="n">
        <f aca="false">IFERROR(($D40-S40)/(4*Inputs!$C$5),0)</f>
        <v>0.0987864215135585</v>
      </c>
    </row>
    <row r="41" customFormat="false" ht="15" hidden="false" customHeight="false" outlineLevel="0" collapsed="false">
      <c r="A41" s="35" t="s">
        <v>301</v>
      </c>
      <c r="B41" s="35" t="s">
        <v>239</v>
      </c>
      <c r="C41" s="50" t="s">
        <v>479</v>
      </c>
      <c r="D41" s="58" t="n">
        <f aca="false">Models!G42</f>
        <v>23000</v>
      </c>
      <c r="E41" s="59" t="n">
        <f aca="false">Models!F42</f>
        <v>0.841924398625429</v>
      </c>
      <c r="F41" s="60" t="n">
        <f aca="false">Depreciation!$C$32</f>
        <v>95000</v>
      </c>
      <c r="G41" s="47" t="n">
        <f aca="false">MIN($D41,$D41*Depreciation!$E$32*$E41)</f>
        <v>10285.259993514</v>
      </c>
      <c r="H41" s="48" t="n">
        <f aca="false">IFERROR(($D41-G41)/(1*Inputs!$C$5),0)</f>
        <v>0.231177091027018</v>
      </c>
      <c r="I41" s="60" t="n">
        <f aca="false">Depreciation!$C$33</f>
        <v>150000</v>
      </c>
      <c r="J41" s="47" t="n">
        <f aca="false">MIN($D41,$D41*Depreciation!$E$33*$E41)</f>
        <v>5944.46483163029</v>
      </c>
      <c r="K41" s="48" t="n">
        <f aca="false">IFERROR(($D41-J41)/(2*Inputs!$C$5),0)</f>
        <v>0.155050319712452</v>
      </c>
      <c r="L41" s="60" t="n">
        <f aca="false">Depreciation!$C$34</f>
        <v>177500</v>
      </c>
      <c r="M41" s="47" t="n">
        <f aca="false">MIN($D41,$D41*Depreciation!$E$34*$E41)</f>
        <v>5044.44613942559</v>
      </c>
      <c r="N41" s="48" t="n">
        <f aca="false">IFERROR(($D41-M41)/(2.5*Inputs!$C$5),0)</f>
        <v>0.130585846258723</v>
      </c>
      <c r="O41" s="60" t="n">
        <f aca="false">Depreciation!$C$35</f>
        <v>205000</v>
      </c>
      <c r="P41" s="47" t="n">
        <f aca="false">MIN($D41,$D41*Depreciation!$E$35*$E41)</f>
        <v>4177.82331706151</v>
      </c>
      <c r="Q41" s="48" t="n">
        <f aca="false">IFERROR(($D41-P41)/(3*Inputs!$C$5),0)</f>
        <v>0.114073798078415</v>
      </c>
      <c r="R41" s="60" t="n">
        <f aca="false">Depreciation!$C$36</f>
        <v>260000</v>
      </c>
      <c r="S41" s="47" t="n">
        <f aca="false">MIN($D41,$D41*Depreciation!$E$36*$E41)</f>
        <v>3005.62828565577</v>
      </c>
      <c r="T41" s="48" t="n">
        <f aca="false">IFERROR(($D41-S41)/(4*Inputs!$C$5),0)</f>
        <v>0.0908835077924738</v>
      </c>
    </row>
    <row r="42" customFormat="false" ht="15" hidden="false" customHeight="false" outlineLevel="0" collapsed="false">
      <c r="A42" s="35" t="s">
        <v>303</v>
      </c>
      <c r="B42" s="35" t="s">
        <v>239</v>
      </c>
      <c r="C42" s="49" t="s">
        <v>478</v>
      </c>
      <c r="D42" s="58" t="n">
        <f aca="false">Models!G43</f>
        <v>22000</v>
      </c>
      <c r="E42" s="59" t="n">
        <f aca="false">Models!F43</f>
        <v>0.841924398625429</v>
      </c>
      <c r="F42" s="60" t="n">
        <f aca="false">Depreciation!$C$32</f>
        <v>95000</v>
      </c>
      <c r="G42" s="47" t="n">
        <f aca="false">MIN($D42,$D42*Depreciation!$E$32*$E42)</f>
        <v>9838.07477640472</v>
      </c>
      <c r="H42" s="48" t="n">
        <f aca="false">IFERROR(($D42-G42)/(1*Inputs!$C$5),0)</f>
        <v>0.221125913156278</v>
      </c>
      <c r="I42" s="60" t="n">
        <f aca="false">Depreciation!$C$33</f>
        <v>150000</v>
      </c>
      <c r="J42" s="47" t="n">
        <f aca="false">MIN($D42,$D42*Depreciation!$E$33*$E42)</f>
        <v>5686.00983895071</v>
      </c>
      <c r="K42" s="48" t="n">
        <f aca="false">IFERROR(($D42-J42)/(2*Inputs!$C$5),0)</f>
        <v>0.148309001464084</v>
      </c>
      <c r="L42" s="60" t="n">
        <f aca="false">Depreciation!$C$34</f>
        <v>177500</v>
      </c>
      <c r="M42" s="47" t="n">
        <f aca="false">MIN($D42,$D42*Depreciation!$E$34*$E42)</f>
        <v>4825.12239423318</v>
      </c>
      <c r="N42" s="48" t="n">
        <f aca="false">IFERROR(($D42-M42)/(2.5*Inputs!$C$5),0)</f>
        <v>0.124908200769213</v>
      </c>
      <c r="O42" s="60" t="n">
        <f aca="false">Depreciation!$C$35</f>
        <v>205000</v>
      </c>
      <c r="P42" s="47" t="n">
        <f aca="false">MIN($D42,$D42*Depreciation!$E$35*$E42)</f>
        <v>3996.17882501536</v>
      </c>
      <c r="Q42" s="48" t="n">
        <f aca="false">IFERROR(($D42-P42)/(3*Inputs!$C$5),0)</f>
        <v>0.10911406772718</v>
      </c>
      <c r="R42" s="60" t="n">
        <f aca="false">Depreciation!$C$36</f>
        <v>260000</v>
      </c>
      <c r="S42" s="47" t="n">
        <f aca="false">MIN($D42,$D42*Depreciation!$E$36*$E42)</f>
        <v>2874.94879497508</v>
      </c>
      <c r="T42" s="48" t="n">
        <f aca="false">IFERROR(($D42-S42)/(4*Inputs!$C$5),0)</f>
        <v>0.0869320509319315</v>
      </c>
    </row>
    <row r="43" customFormat="false" ht="15" hidden="false" customHeight="false" outlineLevel="0" collapsed="false">
      <c r="A43" s="35" t="s">
        <v>305</v>
      </c>
      <c r="B43" s="35" t="s">
        <v>265</v>
      </c>
      <c r="C43" s="49" t="s">
        <v>478</v>
      </c>
      <c r="D43" s="58" t="n">
        <f aca="false">Models!G44</f>
        <v>25000</v>
      </c>
      <c r="E43" s="59" t="n">
        <f aca="false">Models!F44</f>
        <v>0.841924398625429</v>
      </c>
      <c r="F43" s="60" t="n">
        <f aca="false">Depreciation!$C$32</f>
        <v>95000</v>
      </c>
      <c r="G43" s="47" t="n">
        <f aca="false">MIN($D43,$D43*Depreciation!$E$32*$E43)</f>
        <v>11179.6304277326</v>
      </c>
      <c r="H43" s="48" t="n">
        <f aca="false">IFERROR(($D43-G43)/(1*Inputs!$C$5),0)</f>
        <v>0.251279446768497</v>
      </c>
      <c r="I43" s="60" t="n">
        <f aca="false">Depreciation!$C$33</f>
        <v>150000</v>
      </c>
      <c r="J43" s="47" t="n">
        <f aca="false">MIN($D43,$D43*Depreciation!$E$33*$E43)</f>
        <v>6461.37481698945</v>
      </c>
      <c r="K43" s="48" t="n">
        <f aca="false">IFERROR(($D43-J43)/(2*Inputs!$C$5),0)</f>
        <v>0.168532956209187</v>
      </c>
      <c r="L43" s="60" t="n">
        <f aca="false">Depreciation!$C$34</f>
        <v>177500</v>
      </c>
      <c r="M43" s="47" t="n">
        <f aca="false">MIN($D43,$D43*Depreciation!$E$34*$E43)</f>
        <v>5483.09362981043</v>
      </c>
      <c r="N43" s="48" t="n">
        <f aca="false">IFERROR(($D43-M43)/(2.5*Inputs!$C$5),0)</f>
        <v>0.141941137237742</v>
      </c>
      <c r="O43" s="60" t="n">
        <f aca="false">Depreciation!$C$35</f>
        <v>205000</v>
      </c>
      <c r="P43" s="47" t="n">
        <f aca="false">MIN($D43,$D43*Depreciation!$E$35*$E43)</f>
        <v>4541.11230115382</v>
      </c>
      <c r="Q43" s="48" t="n">
        <f aca="false">IFERROR(($D43-P43)/(3*Inputs!$C$5),0)</f>
        <v>0.123993258780886</v>
      </c>
      <c r="R43" s="60" t="n">
        <f aca="false">Depreciation!$C$36</f>
        <v>260000</v>
      </c>
      <c r="S43" s="47" t="n">
        <f aca="false">MIN($D43,$D43*Depreciation!$E$36*$E43)</f>
        <v>3266.98726701714</v>
      </c>
      <c r="T43" s="48" t="n">
        <f aca="false">IFERROR(($D43-S43)/(4*Inputs!$C$5),0)</f>
        <v>0.0987864215135585</v>
      </c>
    </row>
    <row r="44" customFormat="false" ht="15" hidden="false" customHeight="false" outlineLevel="0" collapsed="false">
      <c r="A44" s="35" t="s">
        <v>307</v>
      </c>
      <c r="B44" s="35" t="s">
        <v>239</v>
      </c>
      <c r="C44" s="49" t="s">
        <v>478</v>
      </c>
      <c r="D44" s="58" t="n">
        <f aca="false">Models!G45</f>
        <v>21000</v>
      </c>
      <c r="E44" s="59" t="n">
        <f aca="false">Models!F45</f>
        <v>0.841924398625429</v>
      </c>
      <c r="F44" s="60" t="n">
        <f aca="false">Depreciation!$C$32</f>
        <v>95000</v>
      </c>
      <c r="G44" s="47" t="n">
        <f aca="false">MIN($D44,$D44*Depreciation!$E$32*$E44)</f>
        <v>9390.88955929542</v>
      </c>
      <c r="H44" s="48" t="n">
        <f aca="false">IFERROR(($D44-G44)/(1*Inputs!$C$5),0)</f>
        <v>0.211074735285538</v>
      </c>
      <c r="I44" s="60" t="n">
        <f aca="false">Depreciation!$C$33</f>
        <v>150000</v>
      </c>
      <c r="J44" s="47" t="n">
        <f aca="false">MIN($D44,$D44*Depreciation!$E$33*$E44)</f>
        <v>5427.55484627114</v>
      </c>
      <c r="K44" s="48" t="n">
        <f aca="false">IFERROR(($D44-J44)/(2*Inputs!$C$5),0)</f>
        <v>0.141567683215717</v>
      </c>
      <c r="L44" s="60" t="n">
        <f aca="false">Depreciation!$C$34</f>
        <v>177500</v>
      </c>
      <c r="M44" s="47" t="n">
        <f aca="false">MIN($D44,$D44*Depreciation!$E$34*$E44)</f>
        <v>4605.79864904076</v>
      </c>
      <c r="N44" s="48" t="n">
        <f aca="false">IFERROR(($D44-M44)/(2.5*Inputs!$C$5),0)</f>
        <v>0.119230555279704</v>
      </c>
      <c r="O44" s="60" t="n">
        <f aca="false">Depreciation!$C$35</f>
        <v>205000</v>
      </c>
      <c r="P44" s="47" t="n">
        <f aca="false">MIN($D44,$D44*Depreciation!$E$35*$E44)</f>
        <v>3814.53433296921</v>
      </c>
      <c r="Q44" s="48" t="n">
        <f aca="false">IFERROR(($D44-P44)/(3*Inputs!$C$5),0)</f>
        <v>0.104154337375944</v>
      </c>
      <c r="R44" s="60" t="n">
        <f aca="false">Depreciation!$C$36</f>
        <v>260000</v>
      </c>
      <c r="S44" s="47" t="n">
        <f aca="false">MIN($D44,$D44*Depreciation!$E$36*$E44)</f>
        <v>2744.26930429439</v>
      </c>
      <c r="T44" s="48" t="n">
        <f aca="false">IFERROR(($D44-S44)/(4*Inputs!$C$5),0)</f>
        <v>0.0829805940713891</v>
      </c>
    </row>
    <row r="45" customFormat="false" ht="15" hidden="false" customHeight="false" outlineLevel="0" collapsed="false">
      <c r="A45" s="35" t="s">
        <v>309</v>
      </c>
      <c r="B45" s="35" t="s">
        <v>236</v>
      </c>
      <c r="C45" s="49" t="s">
        <v>478</v>
      </c>
      <c r="D45" s="58" t="n">
        <f aca="false">Models!G46</f>
        <v>25000</v>
      </c>
      <c r="E45" s="59" t="n">
        <f aca="false">Models!F46</f>
        <v>0.841924398625429</v>
      </c>
      <c r="F45" s="60" t="n">
        <f aca="false">Depreciation!$C$32</f>
        <v>95000</v>
      </c>
      <c r="G45" s="47" t="n">
        <f aca="false">MIN($D45,$D45*Depreciation!$E$32*$E45)</f>
        <v>11179.6304277326</v>
      </c>
      <c r="H45" s="48" t="n">
        <f aca="false">IFERROR(($D45-G45)/(1*Inputs!$C$5),0)</f>
        <v>0.251279446768497</v>
      </c>
      <c r="I45" s="60" t="n">
        <f aca="false">Depreciation!$C$33</f>
        <v>150000</v>
      </c>
      <c r="J45" s="47" t="n">
        <f aca="false">MIN($D45,$D45*Depreciation!$E$33*$E45)</f>
        <v>6461.37481698945</v>
      </c>
      <c r="K45" s="48" t="n">
        <f aca="false">IFERROR(($D45-J45)/(2*Inputs!$C$5),0)</f>
        <v>0.168532956209187</v>
      </c>
      <c r="L45" s="60" t="n">
        <f aca="false">Depreciation!$C$34</f>
        <v>177500</v>
      </c>
      <c r="M45" s="47" t="n">
        <f aca="false">MIN($D45,$D45*Depreciation!$E$34*$E45)</f>
        <v>5483.09362981043</v>
      </c>
      <c r="N45" s="48" t="n">
        <f aca="false">IFERROR(($D45-M45)/(2.5*Inputs!$C$5),0)</f>
        <v>0.141941137237742</v>
      </c>
      <c r="O45" s="60" t="n">
        <f aca="false">Depreciation!$C$35</f>
        <v>205000</v>
      </c>
      <c r="P45" s="47" t="n">
        <f aca="false">MIN($D45,$D45*Depreciation!$E$35*$E45)</f>
        <v>4541.11230115382</v>
      </c>
      <c r="Q45" s="48" t="n">
        <f aca="false">IFERROR(($D45-P45)/(3*Inputs!$C$5),0)</f>
        <v>0.123993258780886</v>
      </c>
      <c r="R45" s="60" t="n">
        <f aca="false">Depreciation!$C$36</f>
        <v>260000</v>
      </c>
      <c r="S45" s="47" t="n">
        <f aca="false">MIN($D45,$D45*Depreciation!$E$36*$E45)</f>
        <v>3266.98726701714</v>
      </c>
      <c r="T45" s="48" t="n">
        <f aca="false">IFERROR(($D45-S45)/(4*Inputs!$C$5),0)</f>
        <v>0.0987864215135585</v>
      </c>
    </row>
    <row r="46" customFormat="false" ht="15" hidden="false" customHeight="false" outlineLevel="0" collapsed="false">
      <c r="A46" s="35" t="s">
        <v>311</v>
      </c>
      <c r="B46" s="35" t="s">
        <v>265</v>
      </c>
      <c r="C46" s="49" t="s">
        <v>478</v>
      </c>
      <c r="D46" s="58" t="n">
        <f aca="false">Models!G47</f>
        <v>25000</v>
      </c>
      <c r="E46" s="59" t="n">
        <f aca="false">Models!F47</f>
        <v>0.841924398625429</v>
      </c>
      <c r="F46" s="60" t="n">
        <f aca="false">Depreciation!$C$32</f>
        <v>95000</v>
      </c>
      <c r="G46" s="47" t="n">
        <f aca="false">MIN($D46,$D46*Depreciation!$E$32*$E46)</f>
        <v>11179.6304277326</v>
      </c>
      <c r="H46" s="48" t="n">
        <f aca="false">IFERROR(($D46-G46)/(1*Inputs!$C$5),0)</f>
        <v>0.251279446768497</v>
      </c>
      <c r="I46" s="60" t="n">
        <f aca="false">Depreciation!$C$33</f>
        <v>150000</v>
      </c>
      <c r="J46" s="47" t="n">
        <f aca="false">MIN($D46,$D46*Depreciation!$E$33*$E46)</f>
        <v>6461.37481698945</v>
      </c>
      <c r="K46" s="48" t="n">
        <f aca="false">IFERROR(($D46-J46)/(2*Inputs!$C$5),0)</f>
        <v>0.168532956209187</v>
      </c>
      <c r="L46" s="60" t="n">
        <f aca="false">Depreciation!$C$34</f>
        <v>177500</v>
      </c>
      <c r="M46" s="47" t="n">
        <f aca="false">MIN($D46,$D46*Depreciation!$E$34*$E46)</f>
        <v>5483.09362981043</v>
      </c>
      <c r="N46" s="48" t="n">
        <f aca="false">IFERROR(($D46-M46)/(2.5*Inputs!$C$5),0)</f>
        <v>0.141941137237742</v>
      </c>
      <c r="O46" s="60" t="n">
        <f aca="false">Depreciation!$C$35</f>
        <v>205000</v>
      </c>
      <c r="P46" s="47" t="n">
        <f aca="false">MIN($D46,$D46*Depreciation!$E$35*$E46)</f>
        <v>4541.11230115382</v>
      </c>
      <c r="Q46" s="48" t="n">
        <f aca="false">IFERROR(($D46-P46)/(3*Inputs!$C$5),0)</f>
        <v>0.123993258780886</v>
      </c>
      <c r="R46" s="60" t="n">
        <f aca="false">Depreciation!$C$36</f>
        <v>260000</v>
      </c>
      <c r="S46" s="47" t="n">
        <f aca="false">MIN($D46,$D46*Depreciation!$E$36*$E46)</f>
        <v>3266.98726701714</v>
      </c>
      <c r="T46" s="48" t="n">
        <f aca="false">IFERROR(($D46-S46)/(4*Inputs!$C$5),0)</f>
        <v>0.0987864215135585</v>
      </c>
    </row>
    <row r="47" customFormat="false" ht="15" hidden="false" customHeight="false" outlineLevel="0" collapsed="false">
      <c r="A47" s="35" t="s">
        <v>313</v>
      </c>
      <c r="B47" s="35" t="s">
        <v>239</v>
      </c>
      <c r="C47" s="49" t="s">
        <v>478</v>
      </c>
      <c r="D47" s="58" t="n">
        <f aca="false">Models!G48</f>
        <v>19000</v>
      </c>
      <c r="E47" s="59" t="n">
        <f aca="false">Models!F48</f>
        <v>0.841924398625429</v>
      </c>
      <c r="F47" s="60" t="n">
        <f aca="false">Depreciation!$C$32</f>
        <v>95000</v>
      </c>
      <c r="G47" s="47" t="n">
        <f aca="false">MIN($D47,$D47*Depreciation!$E$32*$E47)</f>
        <v>8496.51912507681</v>
      </c>
      <c r="H47" s="48" t="n">
        <f aca="false">IFERROR(($D47-G47)/(1*Inputs!$C$5),0)</f>
        <v>0.190972379544058</v>
      </c>
      <c r="I47" s="60" t="n">
        <f aca="false">Depreciation!$C$33</f>
        <v>150000</v>
      </c>
      <c r="J47" s="47" t="n">
        <f aca="false">MIN($D47,$D47*Depreciation!$E$33*$E47)</f>
        <v>4910.64486091198</v>
      </c>
      <c r="K47" s="48" t="n">
        <f aca="false">IFERROR(($D47-J47)/(2*Inputs!$C$5),0)</f>
        <v>0.128085046718982</v>
      </c>
      <c r="L47" s="60" t="n">
        <f aca="false">Depreciation!$C$34</f>
        <v>177500</v>
      </c>
      <c r="M47" s="47" t="n">
        <f aca="false">MIN($D47,$D47*Depreciation!$E$34*$E47)</f>
        <v>4167.15115865592</v>
      </c>
      <c r="N47" s="48" t="n">
        <f aca="false">IFERROR(($D47-M47)/(2.5*Inputs!$C$5),0)</f>
        <v>0.107875264300684</v>
      </c>
      <c r="O47" s="60" t="n">
        <f aca="false">Depreciation!$C$35</f>
        <v>205000</v>
      </c>
      <c r="P47" s="47" t="n">
        <f aca="false">MIN($D47,$D47*Depreciation!$E$35*$E47)</f>
        <v>3451.2453488769</v>
      </c>
      <c r="Q47" s="48" t="n">
        <f aca="false">IFERROR(($D47-P47)/(3*Inputs!$C$5),0)</f>
        <v>0.0942348766734733</v>
      </c>
      <c r="R47" s="60" t="n">
        <f aca="false">Depreciation!$C$36</f>
        <v>260000</v>
      </c>
      <c r="S47" s="47" t="n">
        <f aca="false">MIN($D47,$D47*Depreciation!$E$36*$E47)</f>
        <v>2482.91032293302</v>
      </c>
      <c r="T47" s="48" t="n">
        <f aca="false">IFERROR(($D47-S47)/(4*Inputs!$C$5),0)</f>
        <v>0.0750776803503045</v>
      </c>
    </row>
    <row r="48" customFormat="false" ht="15" hidden="false" customHeight="false" outlineLevel="0" collapsed="false">
      <c r="A48" s="35" t="s">
        <v>315</v>
      </c>
      <c r="B48" s="35" t="s">
        <v>239</v>
      </c>
      <c r="C48" s="37" t="s">
        <v>477</v>
      </c>
      <c r="D48" s="58" t="n">
        <f aca="false">Models!G49</f>
        <v>28000</v>
      </c>
      <c r="E48" s="59" t="n">
        <f aca="false">Models!F49</f>
        <v>1.06529209621993</v>
      </c>
      <c r="F48" s="60" t="n">
        <f aca="false">Depreciation!$C$32</f>
        <v>95000</v>
      </c>
      <c r="G48" s="47" t="n">
        <f aca="false">MIN($D48,$D48*Depreciation!$E$32*$E48)</f>
        <v>15843.1334061583</v>
      </c>
      <c r="H48" s="48" t="n">
        <f aca="false">IFERROR(($D48-G48)/(1*Inputs!$C$5),0)</f>
        <v>0.22103393806985</v>
      </c>
      <c r="I48" s="60" t="n">
        <f aca="false">Depreciation!$C$33</f>
        <v>150000</v>
      </c>
      <c r="J48" s="47" t="n">
        <f aca="false">MIN($D48,$D48*Depreciation!$E$33*$E48)</f>
        <v>9156.69116921933</v>
      </c>
      <c r="K48" s="48" t="n">
        <f aca="false">IFERROR(($D48-J48)/(2*Inputs!$C$5),0)</f>
        <v>0.171302807552552</v>
      </c>
      <c r="L48" s="60" t="n">
        <f aca="false">Depreciation!$C$34</f>
        <v>177500</v>
      </c>
      <c r="M48" s="47" t="n">
        <f aca="false">MIN($D48,$D48*Depreciation!$E$34*$E48)</f>
        <v>7770.32697253135</v>
      </c>
      <c r="N48" s="48" t="n">
        <f aca="false">IFERROR(($D48-M48)/(2.5*Inputs!$C$5),0)</f>
        <v>0.147124894745227</v>
      </c>
      <c r="O48" s="60" t="n">
        <f aca="false">Depreciation!$C$35</f>
        <v>205000</v>
      </c>
      <c r="P48" s="47" t="n">
        <f aca="false">MIN($D48,$D48*Depreciation!$E$35*$E48)</f>
        <v>6435.4048610637</v>
      </c>
      <c r="Q48" s="48" t="n">
        <f aca="false">IFERROR(($D48-P48)/(3*Inputs!$C$5),0)</f>
        <v>0.130694515993553</v>
      </c>
      <c r="R48" s="60" t="n">
        <f aca="false">Depreciation!$C$36</f>
        <v>260000</v>
      </c>
      <c r="S48" s="47" t="n">
        <f aca="false">MIN($D48,$D48*Depreciation!$E$36*$E48)</f>
        <v>4629.78766983</v>
      </c>
      <c r="T48" s="48" t="n">
        <f aca="false">IFERROR(($D48-S48)/(4*Inputs!$C$5),0)</f>
        <v>0.106228237864409</v>
      </c>
    </row>
    <row r="49" customFormat="false" ht="15" hidden="false" customHeight="false" outlineLevel="0" collapsed="false">
      <c r="A49" s="35" t="s">
        <v>317</v>
      </c>
      <c r="B49" s="35" t="s">
        <v>318</v>
      </c>
      <c r="C49" s="49" t="s">
        <v>478</v>
      </c>
      <c r="D49" s="58" t="n">
        <f aca="false">Models!G50</f>
        <v>20000</v>
      </c>
      <c r="E49" s="59" t="n">
        <f aca="false">Models!F50</f>
        <v>1.1340206185567</v>
      </c>
      <c r="F49" s="60" t="n">
        <f aca="false">Depreciation!$C$32</f>
        <v>95000</v>
      </c>
      <c r="G49" s="47" t="n">
        <f aca="false">MIN($D49,$D49*Depreciation!$E$32*$E49)</f>
        <v>12046.6221751895</v>
      </c>
      <c r="H49" s="48" t="n">
        <f aca="false">IFERROR(($D49-G49)/(1*Inputs!$C$5),0)</f>
        <v>0.14460686954201</v>
      </c>
      <c r="I49" s="60" t="n">
        <f aca="false">Depreciation!$C$33</f>
        <v>150000</v>
      </c>
      <c r="J49" s="47" t="n">
        <f aca="false">MIN($D49,$D49*Depreciation!$E$33*$E49)</f>
        <v>6962.46102728659</v>
      </c>
      <c r="K49" s="48" t="n">
        <f aca="false">IFERROR(($D49-J49)/(2*Inputs!$C$5),0)</f>
        <v>0.118523081570122</v>
      </c>
      <c r="L49" s="60" t="n">
        <f aca="false">Depreciation!$C$34</f>
        <v>177500</v>
      </c>
      <c r="M49" s="47" t="n">
        <f aca="false">MIN($D49,$D49*Depreciation!$E$34*$E49)</f>
        <v>5908.31313579572</v>
      </c>
      <c r="N49" s="48" t="n">
        <f aca="false">IFERROR(($D49-M49)/(2.5*Inputs!$C$5),0)</f>
        <v>0.102484995376031</v>
      </c>
      <c r="O49" s="60" t="n">
        <f aca="false">Depreciation!$C$35</f>
        <v>205000</v>
      </c>
      <c r="P49" s="47" t="n">
        <f aca="false">MIN($D49,$D49*Depreciation!$E$35*$E49)</f>
        <v>4893.28019389636</v>
      </c>
      <c r="Q49" s="48" t="n">
        <f aca="false">IFERROR(($D49-P49)/(3*Inputs!$C$5),0)</f>
        <v>0.0915558776127493</v>
      </c>
      <c r="R49" s="60" t="n">
        <f aca="false">Depreciation!$C$36</f>
        <v>260000</v>
      </c>
      <c r="S49" s="47" t="n">
        <f aca="false">MIN($D49,$D49*Depreciation!$E$36*$E49)</f>
        <v>3520.34546323479</v>
      </c>
      <c r="T49" s="48" t="n">
        <f aca="false">IFERROR(($D49-S49)/(4*Inputs!$C$5),0)</f>
        <v>0.0749075206216601</v>
      </c>
    </row>
    <row r="50" customFormat="false" ht="15" hidden="false" customHeight="false" outlineLevel="0" collapsed="false">
      <c r="A50" s="35" t="s">
        <v>320</v>
      </c>
      <c r="B50" s="35" t="s">
        <v>321</v>
      </c>
      <c r="C50" s="37" t="s">
        <v>477</v>
      </c>
      <c r="D50" s="58" t="n">
        <f aca="false">Models!G51</f>
        <v>46000</v>
      </c>
      <c r="E50" s="59" t="n">
        <f aca="false">Models!F51</f>
        <v>0.984536082474227</v>
      </c>
      <c r="F50" s="60" t="n">
        <f aca="false">Depreciation!$C$32</f>
        <v>95000</v>
      </c>
      <c r="G50" s="47" t="n">
        <f aca="false">MIN($D50,$D50*Depreciation!$E$32*$E50)</f>
        <v>24054.9141889124</v>
      </c>
      <c r="H50" s="48" t="n">
        <f aca="false">IFERROR(($D50-G50)/(1*Inputs!$C$5),0)</f>
        <v>0.399001560201593</v>
      </c>
      <c r="I50" s="60" t="n">
        <f aca="false">Depreciation!$C$33</f>
        <v>150000</v>
      </c>
      <c r="J50" s="47" t="n">
        <f aca="false">MIN($D50,$D50*Depreciation!$E$33*$E50)</f>
        <v>13902.7687694864</v>
      </c>
      <c r="K50" s="48" t="n">
        <f aca="false">IFERROR(($D50-J50)/(2*Inputs!$C$5),0)</f>
        <v>0.291793011186488</v>
      </c>
      <c r="L50" s="60" t="n">
        <f aca="false">Depreciation!$C$34</f>
        <v>177500</v>
      </c>
      <c r="M50" s="47" t="n">
        <f aca="false">MIN($D50,$D50*Depreciation!$E$34*$E50)</f>
        <v>11797.8270934321</v>
      </c>
      <c r="N50" s="48" t="n">
        <f aca="false">IFERROR(($D50-M50)/(2.5*Inputs!$C$5),0)</f>
        <v>0.24874307568413</v>
      </c>
      <c r="O50" s="60" t="n">
        <f aca="false">Depreciation!$C$35</f>
        <v>205000</v>
      </c>
      <c r="P50" s="47" t="n">
        <f aca="false">MIN($D50,$D50*Depreciation!$E$35*$E50)</f>
        <v>9770.99085990305</v>
      </c>
      <c r="Q50" s="48" t="n">
        <f aca="false">IFERROR(($D50-P50)/(3*Inputs!$C$5),0)</f>
        <v>0.219569752364224</v>
      </c>
      <c r="R50" s="60" t="n">
        <f aca="false">Depreciation!$C$36</f>
        <v>260000</v>
      </c>
      <c r="S50" s="47" t="n">
        <f aca="false">MIN($D50,$D50*Depreciation!$E$36*$E50)</f>
        <v>7029.48982726838</v>
      </c>
      <c r="T50" s="48" t="n">
        <f aca="false">IFERROR(($D50-S50)/(4*Inputs!$C$5),0)</f>
        <v>0.177138682603326</v>
      </c>
    </row>
    <row r="51" customFormat="false" ht="15" hidden="false" customHeight="false" outlineLevel="0" collapsed="false">
      <c r="A51" s="35" t="s">
        <v>324</v>
      </c>
      <c r="B51" s="35" t="s">
        <v>321</v>
      </c>
      <c r="C51" s="37" t="s">
        <v>477</v>
      </c>
      <c r="D51" s="58" t="n">
        <f aca="false">Models!G52</f>
        <v>48000</v>
      </c>
      <c r="E51" s="59" t="n">
        <f aca="false">Models!F52</f>
        <v>0.984536082474227</v>
      </c>
      <c r="F51" s="60" t="n">
        <f aca="false">Depreciation!$C$32</f>
        <v>95000</v>
      </c>
      <c r="G51" s="47" t="n">
        <f aca="false">MIN($D51,$D51*Depreciation!$E$32*$E51)</f>
        <v>25100.7800232129</v>
      </c>
      <c r="H51" s="48" t="n">
        <f aca="false">IFERROR(($D51-G51)/(1*Inputs!$C$5),0)</f>
        <v>0.416349454123401</v>
      </c>
      <c r="I51" s="60" t="n">
        <f aca="false">Depreciation!$C$33</f>
        <v>150000</v>
      </c>
      <c r="J51" s="47" t="n">
        <f aca="false">MIN($D51,$D51*Depreciation!$E$33*$E51)</f>
        <v>14507.2369768553</v>
      </c>
      <c r="K51" s="48" t="n">
        <f aca="false">IFERROR(($D51-J51)/(2*Inputs!$C$5),0)</f>
        <v>0.30447966384677</v>
      </c>
      <c r="L51" s="60" t="n">
        <f aca="false">Depreciation!$C$34</f>
        <v>177500</v>
      </c>
      <c r="M51" s="47" t="n">
        <f aca="false">MIN($D51,$D51*Depreciation!$E$34*$E51)</f>
        <v>12310.7760974944</v>
      </c>
      <c r="N51" s="48" t="n">
        <f aca="false">IFERROR(($D51-M51)/(2.5*Inputs!$C$5),0)</f>
        <v>0.259557992018223</v>
      </c>
      <c r="O51" s="60" t="n">
        <f aca="false">Depreciation!$C$35</f>
        <v>205000</v>
      </c>
      <c r="P51" s="47" t="n">
        <f aca="false">MIN($D51,$D51*Depreciation!$E$35*$E51)</f>
        <v>10195.8165494641</v>
      </c>
      <c r="Q51" s="48" t="n">
        <f aca="false">IFERROR(($D51-P51)/(3*Inputs!$C$5),0)</f>
        <v>0.229116263336581</v>
      </c>
      <c r="R51" s="60" t="n">
        <f aca="false">Depreciation!$C$36</f>
        <v>260000</v>
      </c>
      <c r="S51" s="47" t="n">
        <f aca="false">MIN($D51,$D51*Depreciation!$E$36*$E51)</f>
        <v>7335.11981975831</v>
      </c>
      <c r="T51" s="48" t="n">
        <f aca="false">IFERROR(($D51-S51)/(4*Inputs!$C$5),0)</f>
        <v>0.184840364455644</v>
      </c>
    </row>
    <row r="52" customFormat="false" ht="15" hidden="false" customHeight="false" outlineLevel="0" collapsed="false">
      <c r="A52" s="35" t="s">
        <v>327</v>
      </c>
      <c r="B52" s="35" t="s">
        <v>321</v>
      </c>
      <c r="C52" s="37" t="s">
        <v>477</v>
      </c>
      <c r="D52" s="58" t="n">
        <f aca="false">Models!G53</f>
        <v>38000</v>
      </c>
      <c r="E52" s="59" t="n">
        <f aca="false">Models!F53</f>
        <v>0.984536082474227</v>
      </c>
      <c r="F52" s="60" t="n">
        <f aca="false">Depreciation!$C$32</f>
        <v>95000</v>
      </c>
      <c r="G52" s="47" t="n">
        <f aca="false">MIN($D52,$D52*Depreciation!$E$32*$E52)</f>
        <v>19871.4508517102</v>
      </c>
      <c r="H52" s="48" t="n">
        <f aca="false">IFERROR(($D52-G52)/(1*Inputs!$C$5),0)</f>
        <v>0.329609984514359</v>
      </c>
      <c r="I52" s="60" t="n">
        <f aca="false">Depreciation!$C$33</f>
        <v>150000</v>
      </c>
      <c r="J52" s="47" t="n">
        <f aca="false">MIN($D52,$D52*Depreciation!$E$33*$E52)</f>
        <v>11484.8959400105</v>
      </c>
      <c r="K52" s="48" t="n">
        <f aca="false">IFERROR(($D52-J52)/(2*Inputs!$C$5),0)</f>
        <v>0.241046400545359</v>
      </c>
      <c r="L52" s="60" t="n">
        <f aca="false">Depreciation!$C$34</f>
        <v>177500</v>
      </c>
      <c r="M52" s="47" t="n">
        <f aca="false">MIN($D52,$D52*Depreciation!$E$34*$E52)</f>
        <v>9746.03107718304</v>
      </c>
      <c r="N52" s="48" t="n">
        <f aca="false">IFERROR(($D52-M52)/(2.5*Inputs!$C$5),0)</f>
        <v>0.20548341034776</v>
      </c>
      <c r="O52" s="60" t="n">
        <f aca="false">Depreciation!$C$35</f>
        <v>205000</v>
      </c>
      <c r="P52" s="47" t="n">
        <f aca="false">MIN($D52,$D52*Depreciation!$E$35*$E52)</f>
        <v>8071.68810165904</v>
      </c>
      <c r="Q52" s="48" t="n">
        <f aca="false">IFERROR(($D52-P52)/(3*Inputs!$C$5),0)</f>
        <v>0.181383708474794</v>
      </c>
      <c r="R52" s="60" t="n">
        <f aca="false">Depreciation!$C$36</f>
        <v>260000</v>
      </c>
      <c r="S52" s="47" t="n">
        <f aca="false">MIN($D52,$D52*Depreciation!$E$36*$E52)</f>
        <v>5806.96985730866</v>
      </c>
      <c r="T52" s="48" t="n">
        <f aca="false">IFERROR(($D52-S52)/(4*Inputs!$C$5),0)</f>
        <v>0.146331955194052</v>
      </c>
    </row>
    <row r="53" customFormat="false" ht="15" hidden="false" customHeight="false" outlineLevel="0" collapsed="false">
      <c r="A53" s="35" t="s">
        <v>329</v>
      </c>
      <c r="B53" s="35" t="s">
        <v>239</v>
      </c>
      <c r="C53" s="37" t="s">
        <v>477</v>
      </c>
      <c r="D53" s="58" t="n">
        <f aca="false">Models!G54</f>
        <v>30000</v>
      </c>
      <c r="E53" s="59" t="n">
        <f aca="false">Models!F54</f>
        <v>1.18384879725086</v>
      </c>
      <c r="F53" s="60" t="n">
        <f aca="false">Depreciation!$C$32</f>
        <v>95000</v>
      </c>
      <c r="G53" s="47" t="n">
        <f aca="false">MIN($D53,$D53*Depreciation!$E$32*$E53)</f>
        <v>18863.9151788762</v>
      </c>
      <c r="H53" s="48" t="n">
        <f aca="false">IFERROR(($D53-G53)/(1*Inputs!$C$5),0)</f>
        <v>0.202474269474978</v>
      </c>
      <c r="I53" s="60" t="n">
        <f aca="false">Depreciation!$C$33</f>
        <v>150000</v>
      </c>
      <c r="J53" s="47" t="n">
        <f aca="false">MIN($D53,$D53*Depreciation!$E$33*$E53)</f>
        <v>10902.5810177283</v>
      </c>
      <c r="K53" s="48" t="n">
        <f aca="false">IFERROR(($D53-J53)/(2*Inputs!$C$5),0)</f>
        <v>0.173612899838834</v>
      </c>
      <c r="L53" s="60" t="n">
        <f aca="false">Depreciation!$C$34</f>
        <v>177500</v>
      </c>
      <c r="M53" s="47" t="n">
        <f aca="false">MIN($D53,$D53*Depreciation!$E$34*$E53)</f>
        <v>9251.88125128013</v>
      </c>
      <c r="N53" s="48" t="n">
        <f aca="false">IFERROR(($D53-M53)/(2.5*Inputs!$C$5),0)</f>
        <v>0.150895409081599</v>
      </c>
      <c r="O53" s="60" t="n">
        <f aca="false">Depreciation!$C$35</f>
        <v>205000</v>
      </c>
      <c r="P53" s="47" t="n">
        <f aca="false">MIN($D53,$D53*Depreciation!$E$35*$E53)</f>
        <v>7662.43193998771</v>
      </c>
      <c r="Q53" s="48" t="n">
        <f aca="false">IFERROR(($D53-P53)/(3*Inputs!$C$5),0)</f>
        <v>0.135379200363711</v>
      </c>
      <c r="R53" s="60" t="n">
        <f aca="false">Depreciation!$C$36</f>
        <v>260000</v>
      </c>
      <c r="S53" s="47" t="n">
        <f aca="false">MIN($D53,$D53*Depreciation!$E$36*$E53)</f>
        <v>5512.54096401994</v>
      </c>
      <c r="T53" s="48" t="n">
        <f aca="false">IFERROR(($D53-S53)/(4*Inputs!$C$5),0)</f>
        <v>0.111306631981728</v>
      </c>
    </row>
    <row r="54" customFormat="false" ht="15" hidden="false" customHeight="false" outlineLevel="0" collapsed="false">
      <c r="A54" s="35" t="s">
        <v>331</v>
      </c>
      <c r="B54" s="35" t="s">
        <v>239</v>
      </c>
      <c r="C54" s="37" t="s">
        <v>477</v>
      </c>
      <c r="D54" s="58" t="n">
        <f aca="false">Models!G55</f>
        <v>27000</v>
      </c>
      <c r="E54" s="59" t="n">
        <f aca="false">Models!F55</f>
        <v>1.1872852233677</v>
      </c>
      <c r="F54" s="60" t="n">
        <f aca="false">Depreciation!$C$32</f>
        <v>95000</v>
      </c>
      <c r="G54" s="47" t="n">
        <f aca="false">MIN($D54,$D54*Depreciation!$E$32*$E54)</f>
        <v>17026.8052971598</v>
      </c>
      <c r="H54" s="48" t="n">
        <f aca="false">IFERROR(($D54-G54)/(1*Inputs!$C$5),0)</f>
        <v>0.181330812778912</v>
      </c>
      <c r="I54" s="60" t="n">
        <f aca="false">Depreciation!$C$33</f>
        <v>150000</v>
      </c>
      <c r="J54" s="47" t="n">
        <f aca="false">MIN($D54,$D54*Depreciation!$E$33*$E54)</f>
        <v>9840.80571106711</v>
      </c>
      <c r="K54" s="48" t="n">
        <f aca="false">IFERROR(($D54-J54)/(2*Inputs!$C$5),0)</f>
        <v>0.155992675353935</v>
      </c>
      <c r="L54" s="60" t="n">
        <f aca="false">Depreciation!$C$34</f>
        <v>177500</v>
      </c>
      <c r="M54" s="47" t="n">
        <f aca="false">MIN($D54,$D54*Depreciation!$E$34*$E54)</f>
        <v>8350.86349807128</v>
      </c>
      <c r="N54" s="48" t="n">
        <f aca="false">IFERROR(($D54-M54)/(2.5*Inputs!$C$5),0)</f>
        <v>0.135630083650391</v>
      </c>
      <c r="O54" s="60" t="n">
        <f aca="false">Depreciation!$C$35</f>
        <v>205000</v>
      </c>
      <c r="P54" s="47" t="n">
        <f aca="false">MIN($D54,$D54*Depreciation!$E$35*$E54)</f>
        <v>6916.20671041852</v>
      </c>
      <c r="Q54" s="48" t="n">
        <f aca="false">IFERROR(($D54-P54)/(3*Inputs!$C$5),0)</f>
        <v>0.121719959330797</v>
      </c>
      <c r="R54" s="60" t="n">
        <f aca="false">Depreciation!$C$36</f>
        <v>260000</v>
      </c>
      <c r="S54" s="47" t="n">
        <f aca="false">MIN($D54,$D54*Depreciation!$E$36*$E54)</f>
        <v>4975.68828087663</v>
      </c>
      <c r="T54" s="48" t="n">
        <f aca="false">IFERROR(($D54-S54)/(4*Inputs!$C$5),0)</f>
        <v>0.100110507814197</v>
      </c>
    </row>
    <row r="55" customFormat="false" ht="15" hidden="false" customHeight="false" outlineLevel="0" collapsed="false">
      <c r="A55" s="35" t="s">
        <v>334</v>
      </c>
      <c r="B55" s="35" t="s">
        <v>239</v>
      </c>
      <c r="C55" s="37" t="s">
        <v>477</v>
      </c>
      <c r="D55" s="58" t="n">
        <f aca="false">Models!G56</f>
        <v>26000</v>
      </c>
      <c r="E55" s="59" t="n">
        <f aca="false">Models!F56</f>
        <v>1.11340206185567</v>
      </c>
      <c r="F55" s="60" t="n">
        <f aca="false">Depreciation!$C$32</f>
        <v>95000</v>
      </c>
      <c r="G55" s="47" t="n">
        <f aca="false">MIN($D55,$D55*Depreciation!$E$32*$E55)</f>
        <v>15375.8704854236</v>
      </c>
      <c r="H55" s="48" t="n">
        <f aca="false">IFERROR(($D55-G55)/(1*Inputs!$C$5),0)</f>
        <v>0.193165991174116</v>
      </c>
      <c r="I55" s="60" t="n">
        <f aca="false">Depreciation!$C$33</f>
        <v>150000</v>
      </c>
      <c r="J55" s="47" t="n">
        <f aca="false">MIN($D55,$D55*Depreciation!$E$33*$E55)</f>
        <v>8886.63207482761</v>
      </c>
      <c r="K55" s="48" t="n">
        <f aca="false">IFERROR(($D55-J55)/(2*Inputs!$C$5),0)</f>
        <v>0.155576072047022</v>
      </c>
      <c r="L55" s="60" t="n">
        <f aca="false">Depreciation!$C$34</f>
        <v>177500</v>
      </c>
      <c r="M55" s="47" t="n">
        <f aca="false">MIN($D55,$D55*Depreciation!$E$34*$E55)</f>
        <v>7541.15603877927</v>
      </c>
      <c r="N55" s="48" t="n">
        <f aca="false">IFERROR(($D55-M55)/(2.5*Inputs!$C$5),0)</f>
        <v>0.134246137899787</v>
      </c>
      <c r="O55" s="60" t="n">
        <f aca="false">Depreciation!$C$35</f>
        <v>205000</v>
      </c>
      <c r="P55" s="47" t="n">
        <f aca="false">MIN($D55,$D55*Depreciation!$E$35*$E55)</f>
        <v>6245.60490202772</v>
      </c>
      <c r="Q55" s="48" t="n">
        <f aca="false">IFERROR(($D55-P55)/(3*Inputs!$C$5),0)</f>
        <v>0.119723606654377</v>
      </c>
      <c r="R55" s="60" t="n">
        <f aca="false">Depreciation!$C$36</f>
        <v>260000</v>
      </c>
      <c r="S55" s="47" t="n">
        <f aca="false">MIN($D55,$D55*Depreciation!$E$36*$E55)</f>
        <v>4493.24093671059</v>
      </c>
      <c r="T55" s="48" t="n">
        <f aca="false">IFERROR(($D55-S55)/(4*Inputs!$C$5),0)</f>
        <v>0.0977579957422246</v>
      </c>
    </row>
    <row r="56" customFormat="false" ht="15" hidden="false" customHeight="false" outlineLevel="0" collapsed="false">
      <c r="A56" s="35" t="s">
        <v>337</v>
      </c>
      <c r="B56" s="35" t="s">
        <v>239</v>
      </c>
      <c r="C56" s="37" t="s">
        <v>477</v>
      </c>
      <c r="D56" s="58" t="n">
        <f aca="false">Models!G57</f>
        <v>30000</v>
      </c>
      <c r="E56" s="59" t="n">
        <f aca="false">Models!F57</f>
        <v>1.0085910652921</v>
      </c>
      <c r="F56" s="60" t="n">
        <f aca="false">Depreciation!$C$32</f>
        <v>95000</v>
      </c>
      <c r="G56" s="47" t="n">
        <f aca="false">MIN($D56,$D56*Depreciation!$E$32*$E56)</f>
        <v>16071.2891291732</v>
      </c>
      <c r="H56" s="48" t="n">
        <f aca="false">IFERROR(($D56-G56)/(1*Inputs!$C$5),0)</f>
        <v>0.253249288560487</v>
      </c>
      <c r="I56" s="60" t="n">
        <f aca="false">Depreciation!$C$33</f>
        <v>150000</v>
      </c>
      <c r="J56" s="47" t="n">
        <f aca="false">MIN($D56,$D56*Depreciation!$E$33*$E56)</f>
        <v>9288.55596140279</v>
      </c>
      <c r="K56" s="48" t="n">
        <f aca="false">IFERROR(($D56-J56)/(2*Inputs!$C$5),0)</f>
        <v>0.188285854896338</v>
      </c>
      <c r="L56" s="60" t="n">
        <f aca="false">Depreciation!$C$34</f>
        <v>177500</v>
      </c>
      <c r="M56" s="47" t="n">
        <f aca="false">MIN($D56,$D56*Depreciation!$E$34*$E56)</f>
        <v>7882.22684252748</v>
      </c>
      <c r="N56" s="48" t="n">
        <f aca="false">IFERROR(($D56-M56)/(2.5*Inputs!$C$5),0)</f>
        <v>0.160856532054346</v>
      </c>
      <c r="O56" s="60" t="n">
        <f aca="false">Depreciation!$C$35</f>
        <v>205000</v>
      </c>
      <c r="P56" s="47" t="n">
        <f aca="false">MIN($D56,$D56*Depreciation!$E$35*$E56)</f>
        <v>6528.08062231174</v>
      </c>
      <c r="Q56" s="48" t="n">
        <f aca="false">IFERROR(($D56-P56)/(3*Inputs!$C$5),0)</f>
        <v>0.142254056834474</v>
      </c>
      <c r="R56" s="60" t="n">
        <f aca="false">Depreciation!$C$36</f>
        <v>260000</v>
      </c>
      <c r="S56" s="47" t="n">
        <f aca="false">MIN($D56,$D56*Depreciation!$E$36*$E56)</f>
        <v>4696.46087936096</v>
      </c>
      <c r="T56" s="48" t="n">
        <f aca="false">IFERROR(($D56-S56)/(4*Inputs!$C$5),0)</f>
        <v>0.115016086911996</v>
      </c>
    </row>
    <row r="57" customFormat="false" ht="15" hidden="false" customHeight="false" outlineLevel="0" collapsed="false">
      <c r="A57" s="35" t="s">
        <v>339</v>
      </c>
      <c r="B57" s="35" t="s">
        <v>236</v>
      </c>
      <c r="C57" s="37" t="s">
        <v>477</v>
      </c>
      <c r="D57" s="58" t="n">
        <f aca="false">Models!G58</f>
        <v>30000</v>
      </c>
      <c r="E57" s="59" t="n">
        <f aca="false">Models!F58</f>
        <v>0.960481099656357</v>
      </c>
      <c r="F57" s="60" t="n">
        <f aca="false">Depreciation!$C$32</f>
        <v>95000</v>
      </c>
      <c r="G57" s="47" t="n">
        <f aca="false">MIN($D57,$D57*Depreciation!$E$32*$E57)</f>
        <v>15304.685899843</v>
      </c>
      <c r="H57" s="48" t="n">
        <f aca="false">IFERROR(($D57-G57)/(1*Inputs!$C$5),0)</f>
        <v>0.267187529093764</v>
      </c>
      <c r="I57" s="60" t="n">
        <f aca="false">Depreciation!$C$33</f>
        <v>150000</v>
      </c>
      <c r="J57" s="47" t="n">
        <f aca="false">MIN($D57,$D57*Depreciation!$E$33*$E57)</f>
        <v>8845.49025966637</v>
      </c>
      <c r="K57" s="48" t="n">
        <f aca="false">IFERROR(($D57-J57)/(2*Inputs!$C$5),0)</f>
        <v>0.192313724912124</v>
      </c>
      <c r="L57" s="60" t="n">
        <f aca="false">Depreciation!$C$34</f>
        <v>177500</v>
      </c>
      <c r="M57" s="47" t="n">
        <f aca="false">MIN($D57,$D57*Depreciation!$E$34*$E57)</f>
        <v>7506.24327934048</v>
      </c>
      <c r="N57" s="48" t="n">
        <f aca="false">IFERROR(($D57-M57)/(2.5*Inputs!$C$5),0)</f>
        <v>0.163590957968433</v>
      </c>
      <c r="O57" s="60" t="n">
        <f aca="false">Depreciation!$C$35</f>
        <v>205000</v>
      </c>
      <c r="P57" s="47" t="n">
        <f aca="false">MIN($D57,$D57*Depreciation!$E$35*$E57)</f>
        <v>6216.69006451833</v>
      </c>
      <c r="Q57" s="48" t="n">
        <f aca="false">IFERROR(($D57-P57)/(3*Inputs!$C$5),0)</f>
        <v>0.144141272336253</v>
      </c>
      <c r="R57" s="60" t="n">
        <f aca="false">Depreciation!$C$36</f>
        <v>260000</v>
      </c>
      <c r="S57" s="47" t="n">
        <f aca="false">MIN($D57,$D57*Depreciation!$E$36*$E57)</f>
        <v>4472.43889533693</v>
      </c>
      <c r="T57" s="48" t="n">
        <f aca="false">IFERROR(($D57-S57)/(4*Inputs!$C$5),0)</f>
        <v>0.116034368657559</v>
      </c>
    </row>
    <row r="58" customFormat="false" ht="15" hidden="false" customHeight="false" outlineLevel="0" collapsed="false">
      <c r="A58" s="35" t="s">
        <v>342</v>
      </c>
      <c r="B58" s="35" t="s">
        <v>239</v>
      </c>
      <c r="C58" s="49" t="s">
        <v>478</v>
      </c>
      <c r="D58" s="58" t="n">
        <f aca="false">Models!G59</f>
        <v>24000</v>
      </c>
      <c r="E58" s="59" t="n">
        <f aca="false">Models!F59</f>
        <v>0.819587628865979</v>
      </c>
      <c r="F58" s="60" t="n">
        <f aca="false">Depreciation!$C$32</f>
        <v>95000</v>
      </c>
      <c r="G58" s="47" t="n">
        <f aca="false">MIN($D58,$D58*Depreciation!$E$32*$E58)</f>
        <v>10447.7068683007</v>
      </c>
      <c r="H58" s="48" t="n">
        <f aca="false">IFERROR(($D58-G58)/(1*Inputs!$C$5),0)</f>
        <v>0.24640532966726</v>
      </c>
      <c r="I58" s="60" t="n">
        <f aca="false">Depreciation!$C$33</f>
        <v>150000</v>
      </c>
      <c r="J58" s="47" t="n">
        <f aca="false">MIN($D58,$D58*Depreciation!$E$33*$E58)</f>
        <v>6038.35256366491</v>
      </c>
      <c r="K58" s="48" t="n">
        <f aca="false">IFERROR(($D58-J58)/(2*Inputs!$C$5),0)</f>
        <v>0.163287703966683</v>
      </c>
      <c r="L58" s="60" t="n">
        <f aca="false">Depreciation!$C$34</f>
        <v>177500</v>
      </c>
      <c r="M58" s="47" t="n">
        <f aca="false">MIN($D58,$D58*Depreciation!$E$34*$E58)</f>
        <v>5124.11884686284</v>
      </c>
      <c r="N58" s="48" t="n">
        <f aca="false">IFERROR(($D58-M58)/(2.5*Inputs!$C$5),0)</f>
        <v>0.137279135659179</v>
      </c>
      <c r="O58" s="60" t="n">
        <f aca="false">Depreciation!$C$35</f>
        <v>205000</v>
      </c>
      <c r="P58" s="47" t="n">
        <f aca="false">MIN($D58,$D58*Depreciation!$E$35*$E58)</f>
        <v>4243.80845907012</v>
      </c>
      <c r="Q58" s="48" t="n">
        <f aca="false">IFERROR(($D58-P58)/(3*Inputs!$C$5),0)</f>
        <v>0.119734494187454</v>
      </c>
      <c r="R58" s="60" t="n">
        <f aca="false">Depreciation!$C$36</f>
        <v>260000</v>
      </c>
      <c r="S58" s="47" t="n">
        <f aca="false">MIN($D58,$D58*Depreciation!$E$36*$E58)</f>
        <v>3053.09961084181</v>
      </c>
      <c r="T58" s="48" t="n">
        <f aca="false">IFERROR(($D58-S58)/(4*Inputs!$C$5),0)</f>
        <v>0.0952131835870827</v>
      </c>
    </row>
    <row r="59" customFormat="false" ht="15" hidden="false" customHeight="false" outlineLevel="0" collapsed="false">
      <c r="A59" s="35" t="s">
        <v>344</v>
      </c>
      <c r="B59" s="35" t="s">
        <v>265</v>
      </c>
      <c r="C59" s="49" t="s">
        <v>478</v>
      </c>
      <c r="D59" s="58" t="n">
        <f aca="false">Models!G60</f>
        <v>28000</v>
      </c>
      <c r="E59" s="59" t="n">
        <f aca="false">Models!F60</f>
        <v>0.841924398625429</v>
      </c>
      <c r="F59" s="60" t="n">
        <f aca="false">Depreciation!$C$32</f>
        <v>95000</v>
      </c>
      <c r="G59" s="47" t="n">
        <f aca="false">MIN($D59,$D59*Depreciation!$E$32*$E59)</f>
        <v>12521.1860790606</v>
      </c>
      <c r="H59" s="48" t="n">
        <f aca="false">IFERROR(($D59-G59)/(1*Inputs!$C$5),0)</f>
        <v>0.281432980380717</v>
      </c>
      <c r="I59" s="60" t="n">
        <f aca="false">Depreciation!$C$33</f>
        <v>150000</v>
      </c>
      <c r="J59" s="47" t="n">
        <f aca="false">MIN($D59,$D59*Depreciation!$E$33*$E59)</f>
        <v>7236.73979502818</v>
      </c>
      <c r="K59" s="48" t="n">
        <f aca="false">IFERROR(($D59-J59)/(2*Inputs!$C$5),0)</f>
        <v>0.188756910954289</v>
      </c>
      <c r="L59" s="60" t="n">
        <f aca="false">Depreciation!$C$34</f>
        <v>177500</v>
      </c>
      <c r="M59" s="47" t="n">
        <f aca="false">MIN($D59,$D59*Depreciation!$E$34*$E59)</f>
        <v>6141.06486538768</v>
      </c>
      <c r="N59" s="48" t="n">
        <f aca="false">IFERROR(($D59-M59)/(2.5*Inputs!$C$5),0)</f>
        <v>0.158974073706271</v>
      </c>
      <c r="O59" s="60" t="n">
        <f aca="false">Depreciation!$C$35</f>
        <v>205000</v>
      </c>
      <c r="P59" s="47" t="n">
        <f aca="false">MIN($D59,$D59*Depreciation!$E$35*$E59)</f>
        <v>5086.04577729228</v>
      </c>
      <c r="Q59" s="48" t="n">
        <f aca="false">IFERROR(($D59-P59)/(3*Inputs!$C$5),0)</f>
        <v>0.138872449834592</v>
      </c>
      <c r="R59" s="60" t="n">
        <f aca="false">Depreciation!$C$36</f>
        <v>260000</v>
      </c>
      <c r="S59" s="47" t="n">
        <f aca="false">MIN($D59,$D59*Depreciation!$E$36*$E59)</f>
        <v>3659.02573905919</v>
      </c>
      <c r="T59" s="48" t="n">
        <f aca="false">IFERROR(($D59-S59)/(4*Inputs!$C$5),0)</f>
        <v>0.110640792095186</v>
      </c>
    </row>
    <row r="60" customFormat="false" ht="15" hidden="false" customHeight="false" outlineLevel="0" collapsed="false">
      <c r="A60" s="35" t="s">
        <v>346</v>
      </c>
      <c r="B60" s="35" t="s">
        <v>236</v>
      </c>
      <c r="C60" s="49" t="s">
        <v>478</v>
      </c>
      <c r="D60" s="58" t="n">
        <f aca="false">Models!G61</f>
        <v>28000</v>
      </c>
      <c r="E60" s="59" t="n">
        <f aca="false">Models!F61</f>
        <v>0.841924398625429</v>
      </c>
      <c r="F60" s="60" t="n">
        <f aca="false">Depreciation!$C$32</f>
        <v>95000</v>
      </c>
      <c r="G60" s="47" t="n">
        <f aca="false">MIN($D60,$D60*Depreciation!$E$32*$E60)</f>
        <v>12521.1860790606</v>
      </c>
      <c r="H60" s="48" t="n">
        <f aca="false">IFERROR(($D60-G60)/(1*Inputs!$C$5),0)</f>
        <v>0.281432980380717</v>
      </c>
      <c r="I60" s="60" t="n">
        <f aca="false">Depreciation!$C$33</f>
        <v>150000</v>
      </c>
      <c r="J60" s="47" t="n">
        <f aca="false">MIN($D60,$D60*Depreciation!$E$33*$E60)</f>
        <v>7236.73979502818</v>
      </c>
      <c r="K60" s="48" t="n">
        <f aca="false">IFERROR(($D60-J60)/(2*Inputs!$C$5),0)</f>
        <v>0.188756910954289</v>
      </c>
      <c r="L60" s="60" t="n">
        <f aca="false">Depreciation!$C$34</f>
        <v>177500</v>
      </c>
      <c r="M60" s="47" t="n">
        <f aca="false">MIN($D60,$D60*Depreciation!$E$34*$E60)</f>
        <v>6141.06486538768</v>
      </c>
      <c r="N60" s="48" t="n">
        <f aca="false">IFERROR(($D60-M60)/(2.5*Inputs!$C$5),0)</f>
        <v>0.158974073706271</v>
      </c>
      <c r="O60" s="60" t="n">
        <f aca="false">Depreciation!$C$35</f>
        <v>205000</v>
      </c>
      <c r="P60" s="47" t="n">
        <f aca="false">MIN($D60,$D60*Depreciation!$E$35*$E60)</f>
        <v>5086.04577729228</v>
      </c>
      <c r="Q60" s="48" t="n">
        <f aca="false">IFERROR(($D60-P60)/(3*Inputs!$C$5),0)</f>
        <v>0.138872449834592</v>
      </c>
      <c r="R60" s="60" t="n">
        <f aca="false">Depreciation!$C$36</f>
        <v>260000</v>
      </c>
      <c r="S60" s="47" t="n">
        <f aca="false">MIN($D60,$D60*Depreciation!$E$36*$E60)</f>
        <v>3659.02573905919</v>
      </c>
      <c r="T60" s="48" t="n">
        <f aca="false">IFERROR(($D60-S60)/(4*Inputs!$C$5),0)</f>
        <v>0.110640792095186</v>
      </c>
    </row>
    <row r="61" customFormat="false" ht="15" hidden="false" customHeight="false" outlineLevel="0" collapsed="false">
      <c r="A61" s="35" t="s">
        <v>348</v>
      </c>
      <c r="B61" s="35" t="s">
        <v>349</v>
      </c>
      <c r="C61" s="37" t="s">
        <v>477</v>
      </c>
      <c r="D61" s="58" t="n">
        <f aca="false">Models!G62</f>
        <v>38000</v>
      </c>
      <c r="E61" s="59" t="n">
        <f aca="false">Models!F62</f>
        <v>1.06529209621993</v>
      </c>
      <c r="F61" s="60" t="n">
        <f aca="false">Depreciation!$C$32</f>
        <v>95000</v>
      </c>
      <c r="G61" s="47" t="n">
        <f aca="false">MIN($D61,$D61*Depreciation!$E$32*$E61)</f>
        <v>21501.3953369291</v>
      </c>
      <c r="H61" s="48" t="n">
        <f aca="false">IFERROR(($D61-G61)/(1*Inputs!$C$5),0)</f>
        <v>0.299974630237654</v>
      </c>
      <c r="I61" s="60" t="n">
        <f aca="false">Depreciation!$C$33</f>
        <v>150000</v>
      </c>
      <c r="J61" s="47" t="n">
        <f aca="false">MIN($D61,$D61*Depreciation!$E$33*$E61)</f>
        <v>12426.9380153691</v>
      </c>
      <c r="K61" s="48" t="n">
        <f aca="false">IFERROR(($D61-J61)/(2*Inputs!$C$5),0)</f>
        <v>0.232482381678463</v>
      </c>
      <c r="L61" s="60" t="n">
        <f aca="false">Depreciation!$C$34</f>
        <v>177500</v>
      </c>
      <c r="M61" s="47" t="n">
        <f aca="false">MIN($D61,$D61*Depreciation!$E$34*$E61)</f>
        <v>10545.4437484354</v>
      </c>
      <c r="N61" s="48" t="n">
        <f aca="false">IFERROR(($D61-M61)/(2.5*Inputs!$C$5),0)</f>
        <v>0.199669500011379</v>
      </c>
      <c r="O61" s="60" t="n">
        <f aca="false">Depreciation!$C$35</f>
        <v>205000</v>
      </c>
      <c r="P61" s="47" t="n">
        <f aca="false">MIN($D61,$D61*Depreciation!$E$35*$E61)</f>
        <v>8733.76374001502</v>
      </c>
      <c r="Q61" s="48" t="n">
        <f aca="false">IFERROR(($D61-P61)/(3*Inputs!$C$5),0)</f>
        <v>0.177371128848394</v>
      </c>
      <c r="R61" s="60" t="n">
        <f aca="false">Depreciation!$C$36</f>
        <v>260000</v>
      </c>
      <c r="S61" s="47" t="n">
        <f aca="false">MIN($D61,$D61*Depreciation!$E$36*$E61)</f>
        <v>6283.28326619785</v>
      </c>
      <c r="T61" s="48" t="n">
        <f aca="false">IFERROR(($D61-S61)/(4*Inputs!$C$5),0)</f>
        <v>0.144166894244555</v>
      </c>
    </row>
    <row r="62" customFormat="false" ht="15" hidden="false" customHeight="false" outlineLevel="0" collapsed="false">
      <c r="A62" s="35" t="s">
        <v>352</v>
      </c>
      <c r="B62" s="35" t="s">
        <v>265</v>
      </c>
      <c r="C62" s="49" t="s">
        <v>478</v>
      </c>
      <c r="D62" s="58" t="n">
        <f aca="false">Models!G63</f>
        <v>45000</v>
      </c>
      <c r="E62" s="59" t="n">
        <f aca="false">Models!F63</f>
        <v>1.06529209621993</v>
      </c>
      <c r="F62" s="60" t="n">
        <f aca="false">Depreciation!$C$32</f>
        <v>95000</v>
      </c>
      <c r="G62" s="47" t="n">
        <f aca="false">MIN($D62,$D62*Depreciation!$E$32*$E62)</f>
        <v>25462.1786884686</v>
      </c>
      <c r="H62" s="48" t="n">
        <f aca="false">IFERROR(($D62-G62)/(1*Inputs!$C$5),0)</f>
        <v>0.355233114755116</v>
      </c>
      <c r="I62" s="60" t="n">
        <f aca="false">Depreciation!$C$33</f>
        <v>150000</v>
      </c>
      <c r="J62" s="47" t="n">
        <f aca="false">MIN($D62,$D62*Depreciation!$E$33*$E62)</f>
        <v>14716.1108076739</v>
      </c>
      <c r="K62" s="48" t="n">
        <f aca="false">IFERROR(($D62-J62)/(2*Inputs!$C$5),0)</f>
        <v>0.275308083566601</v>
      </c>
      <c r="L62" s="60" t="n">
        <f aca="false">Depreciation!$C$34</f>
        <v>177500</v>
      </c>
      <c r="M62" s="47" t="n">
        <f aca="false">MIN($D62,$D62*Depreciation!$E$34*$E62)</f>
        <v>12488.0254915682</v>
      </c>
      <c r="N62" s="48" t="n">
        <f aca="false">IFERROR(($D62-M62)/(2.5*Inputs!$C$5),0)</f>
        <v>0.236450723697686</v>
      </c>
      <c r="O62" s="60" t="n">
        <f aca="false">Depreciation!$C$35</f>
        <v>205000</v>
      </c>
      <c r="P62" s="47" t="n">
        <f aca="false">MIN($D62,$D62*Depreciation!$E$35*$E62)</f>
        <v>10342.6149552809</v>
      </c>
      <c r="Q62" s="48" t="n">
        <f aca="false">IFERROR(($D62-P62)/(3*Inputs!$C$5),0)</f>
        <v>0.210044757846782</v>
      </c>
      <c r="R62" s="60" t="n">
        <f aca="false">Depreciation!$C$36</f>
        <v>260000</v>
      </c>
      <c r="S62" s="47" t="n">
        <f aca="false">MIN($D62,$D62*Depreciation!$E$36*$E62)</f>
        <v>7440.73018365535</v>
      </c>
      <c r="T62" s="48" t="n">
        <f aca="false">IFERROR(($D62-S62)/(4*Inputs!$C$5),0)</f>
        <v>0.170723953710658</v>
      </c>
    </row>
    <row r="63" customFormat="false" ht="15" hidden="false" customHeight="false" outlineLevel="0" collapsed="false">
      <c r="A63" s="35" t="s">
        <v>354</v>
      </c>
      <c r="B63" s="35" t="s">
        <v>245</v>
      </c>
      <c r="C63" s="37" t="s">
        <v>477</v>
      </c>
      <c r="D63" s="58" t="n">
        <f aca="false">Models!G64</f>
        <v>34000</v>
      </c>
      <c r="E63" s="59" t="n">
        <f aca="false">Models!F64</f>
        <v>1.27147766323024</v>
      </c>
      <c r="F63" s="60" t="n">
        <f aca="false">Depreciation!$C$32</f>
        <v>95000</v>
      </c>
      <c r="G63" s="47" t="n">
        <f aca="false">MIN($D63,$D63*Depreciation!$E$32*$E63)</f>
        <v>22961.5919642248</v>
      </c>
      <c r="H63" s="48" t="n">
        <f aca="false">IFERROR(($D63-G63)/(1*Inputs!$C$5),0)</f>
        <v>0.200698327923186</v>
      </c>
      <c r="I63" s="60" t="n">
        <f aca="false">Depreciation!$C$33</f>
        <v>150000</v>
      </c>
      <c r="J63" s="47" t="n">
        <f aca="false">MIN($D63,$D63*Depreciation!$E$33*$E63)</f>
        <v>13270.8726853432</v>
      </c>
      <c r="K63" s="48" t="n">
        <f aca="false">IFERROR(($D63-J63)/(2*Inputs!$C$5),0)</f>
        <v>0.188446611951425</v>
      </c>
      <c r="L63" s="60" t="n">
        <f aca="false">Depreciation!$C$34</f>
        <v>177500</v>
      </c>
      <c r="M63" s="47" t="n">
        <f aca="false">MIN($D63,$D63*Depreciation!$E$34*$E63)</f>
        <v>11261.6029164106</v>
      </c>
      <c r="N63" s="48" t="n">
        <f aca="false">IFERROR(($D63-M63)/(2.5*Inputs!$C$5),0)</f>
        <v>0.165370160607923</v>
      </c>
      <c r="O63" s="60" t="n">
        <f aca="false">Depreciation!$C$35</f>
        <v>205000</v>
      </c>
      <c r="P63" s="47" t="n">
        <f aca="false">MIN($D63,$D63*Depreciation!$E$35*$E63)</f>
        <v>9326.88861200246</v>
      </c>
      <c r="Q63" s="48" t="n">
        <f aca="false">IFERROR(($D63-P63)/(3*Inputs!$C$5),0)</f>
        <v>0.149534008412106</v>
      </c>
      <c r="R63" s="60" t="n">
        <f aca="false">Depreciation!$C$36</f>
        <v>260000</v>
      </c>
      <c r="S63" s="47" t="n">
        <f aca="false">MIN($D63,$D63*Depreciation!$E$36*$E63)</f>
        <v>6709.99180719601</v>
      </c>
      <c r="T63" s="48" t="n">
        <f aca="false">IFERROR(($D63-S63)/(4*Inputs!$C$5),0)</f>
        <v>0.124045491785473</v>
      </c>
    </row>
    <row r="64" customFormat="false" ht="15" hidden="false" customHeight="false" outlineLevel="0" collapsed="false">
      <c r="A64" s="35" t="s">
        <v>358</v>
      </c>
      <c r="B64" s="35" t="s">
        <v>245</v>
      </c>
      <c r="C64" s="50" t="s">
        <v>479</v>
      </c>
      <c r="D64" s="58" t="n">
        <f aca="false">Models!G65</f>
        <v>45000</v>
      </c>
      <c r="E64" s="59" t="n">
        <f aca="false">Models!F65</f>
        <v>1.27147766323024</v>
      </c>
      <c r="F64" s="60" t="n">
        <f aca="false">Depreciation!$C$32</f>
        <v>95000</v>
      </c>
      <c r="G64" s="47" t="n">
        <f aca="false">MIN($D64,$D64*Depreciation!$E$32*$E64)</f>
        <v>30390.3423055916</v>
      </c>
      <c r="H64" s="48" t="n">
        <f aca="false">IFERROR(($D64-G64)/(1*Inputs!$C$5),0)</f>
        <v>0.265630139898335</v>
      </c>
      <c r="I64" s="60" t="n">
        <f aca="false">Depreciation!$C$33</f>
        <v>150000</v>
      </c>
      <c r="J64" s="47" t="n">
        <f aca="false">MIN($D64,$D64*Depreciation!$E$33*$E64)</f>
        <v>17564.3903188366</v>
      </c>
      <c r="K64" s="48" t="n">
        <f aca="false">IFERROR(($D64-J64)/(2*Inputs!$C$5),0)</f>
        <v>0.249414633465122</v>
      </c>
      <c r="L64" s="60" t="n">
        <f aca="false">Depreciation!$C$34</f>
        <v>177500</v>
      </c>
      <c r="M64" s="47" t="n">
        <f aca="false">MIN($D64,$D64*Depreciation!$E$34*$E64)</f>
        <v>14905.0626834847</v>
      </c>
      <c r="N64" s="48" t="n">
        <f aca="false">IFERROR(($D64-M64)/(2.5*Inputs!$C$5),0)</f>
        <v>0.218872271392839</v>
      </c>
      <c r="O64" s="60" t="n">
        <f aca="false">Depreciation!$C$35</f>
        <v>205000</v>
      </c>
      <c r="P64" s="47" t="n">
        <f aca="false">MIN($D64,$D64*Depreciation!$E$35*$E64)</f>
        <v>12344.4113982385</v>
      </c>
      <c r="Q64" s="48" t="n">
        <f aca="false">IFERROR(($D64-P64)/(3*Inputs!$C$5),0)</f>
        <v>0.197912658192494</v>
      </c>
      <c r="R64" s="60" t="n">
        <f aca="false">Depreciation!$C$36</f>
        <v>260000</v>
      </c>
      <c r="S64" s="47" t="n">
        <f aca="false">MIN($D64,$D64*Depreciation!$E$36*$E64)</f>
        <v>8880.87150952413</v>
      </c>
      <c r="T64" s="48" t="n">
        <f aca="false">IFERROR(($D64-S64)/(4*Inputs!$C$5),0)</f>
        <v>0.16417785677489</v>
      </c>
    </row>
    <row r="65" customFormat="false" ht="15" hidden="false" customHeight="false" outlineLevel="0" collapsed="false">
      <c r="A65" s="35" t="s">
        <v>360</v>
      </c>
      <c r="B65" s="35" t="s">
        <v>361</v>
      </c>
      <c r="C65" s="37" t="s">
        <v>477</v>
      </c>
      <c r="D65" s="58" t="n">
        <f aca="false">Models!G66</f>
        <v>38000</v>
      </c>
      <c r="E65" s="59" t="n">
        <f aca="false">Models!F66</f>
        <v>1.28006872852234</v>
      </c>
      <c r="F65" s="60" t="n">
        <f aca="false">Depreciation!$C$32</f>
        <v>95000</v>
      </c>
      <c r="G65" s="47" t="n">
        <f aca="false">MIN($D65,$D65*Depreciation!$E$32*$E65)</f>
        <v>25836.3540742131</v>
      </c>
      <c r="H65" s="48" t="n">
        <f aca="false">IFERROR(($D65-G65)/(1*Inputs!$C$5),0)</f>
        <v>0.22115719865067</v>
      </c>
      <c r="I65" s="60" t="n">
        <f aca="false">Depreciation!$C$33</f>
        <v>150000</v>
      </c>
      <c r="J65" s="47" t="n">
        <f aca="false">MIN($D65,$D65*Depreciation!$E$33*$E65)</f>
        <v>14932.3690668548</v>
      </c>
      <c r="K65" s="48" t="n">
        <f aca="false">IFERROR(($D65-J65)/(2*Inputs!$C$5),0)</f>
        <v>0.209705735755866</v>
      </c>
      <c r="L65" s="60" t="n">
        <f aca="false">Depreciation!$C$34</f>
        <v>177500</v>
      </c>
      <c r="M65" s="47" t="n">
        <f aca="false">MIN($D65,$D65*Depreciation!$E$34*$E65)</f>
        <v>12671.5412783619</v>
      </c>
      <c r="N65" s="48" t="n">
        <f aca="false">IFERROR(($D65-M65)/(2.5*Inputs!$C$5),0)</f>
        <v>0.184206972521004</v>
      </c>
      <c r="O65" s="60" t="n">
        <f aca="false">Depreciation!$C$35</f>
        <v>205000</v>
      </c>
      <c r="P65" s="47" t="n">
        <f aca="false">MIN($D65,$D65*Depreciation!$E$35*$E65)</f>
        <v>10494.6032037277</v>
      </c>
      <c r="Q65" s="48" t="n">
        <f aca="false">IFERROR(($D65-P65)/(3*Inputs!$C$5),0)</f>
        <v>0.166699374522862</v>
      </c>
      <c r="R65" s="60" t="n">
        <f aca="false">Depreciation!$C$36</f>
        <v>260000</v>
      </c>
      <c r="S65" s="47" t="n">
        <f aca="false">MIN($D65,$D65*Depreciation!$E$36*$E65)</f>
        <v>7550.07424728613</v>
      </c>
      <c r="T65" s="48" t="n">
        <f aca="false">IFERROR(($D65-S65)/(4*Inputs!$C$5),0)</f>
        <v>0.138408753421427</v>
      </c>
    </row>
    <row r="66" customFormat="false" ht="15" hidden="false" customHeight="false" outlineLevel="0" collapsed="false">
      <c r="A66" s="35" t="s">
        <v>365</v>
      </c>
      <c r="B66" s="35" t="s">
        <v>366</v>
      </c>
      <c r="C66" s="37" t="s">
        <v>477</v>
      </c>
      <c r="D66" s="58" t="n">
        <f aca="false">Models!G67</f>
        <v>42000</v>
      </c>
      <c r="E66" s="59" t="n">
        <f aca="false">Models!F67</f>
        <v>1.21821305841924</v>
      </c>
      <c r="F66" s="60" t="n">
        <f aca="false">Depreciation!$C$32</f>
        <v>95000</v>
      </c>
      <c r="G66" s="47" t="n">
        <f aca="false">MIN($D66,$D66*Depreciation!$E$32*$E66)</f>
        <v>27176.0844797569</v>
      </c>
      <c r="H66" s="48" t="n">
        <f aca="false">IFERROR(($D66-G66)/(1*Inputs!$C$5),0)</f>
        <v>0.269525736731692</v>
      </c>
      <c r="I66" s="60" t="n">
        <f aca="false">Depreciation!$C$33</f>
        <v>150000</v>
      </c>
      <c r="J66" s="47" t="n">
        <f aca="false">MIN($D66,$D66*Depreciation!$E$33*$E66)</f>
        <v>15706.6791265561</v>
      </c>
      <c r="K66" s="48" t="n">
        <f aca="false">IFERROR(($D66-J66)/(2*Inputs!$C$5),0)</f>
        <v>0.239030189758581</v>
      </c>
      <c r="L66" s="60" t="n">
        <f aca="false">Depreciation!$C$34</f>
        <v>177500</v>
      </c>
      <c r="M66" s="47" t="n">
        <f aca="false">MIN($D66,$D66*Depreciation!$E$34*$E66)</f>
        <v>13328.6173149792</v>
      </c>
      <c r="N66" s="48" t="n">
        <f aca="false">IFERROR(($D66-M66)/(2.5*Inputs!$C$5),0)</f>
        <v>0.208519146800152</v>
      </c>
      <c r="O66" s="60" t="n">
        <f aca="false">Depreciation!$C$35</f>
        <v>205000</v>
      </c>
      <c r="P66" s="47" t="n">
        <f aca="false">MIN($D66,$D66*Depreciation!$E$35*$E66)</f>
        <v>11038.7952737762</v>
      </c>
      <c r="Q66" s="48" t="n">
        <f aca="false">IFERROR(($D66-P66)/(3*Inputs!$C$5),0)</f>
        <v>0.187643665007417</v>
      </c>
      <c r="R66" s="60" t="n">
        <f aca="false">Depreciation!$C$36</f>
        <v>260000</v>
      </c>
      <c r="S66" s="47" t="n">
        <f aca="false">MIN($D66,$D66*Depreciation!$E$36*$E66)</f>
        <v>7941.57933365194</v>
      </c>
      <c r="T66" s="48" t="n">
        <f aca="false">IFERROR(($D66-S66)/(4*Inputs!$C$5),0)</f>
        <v>0.154811003028855</v>
      </c>
    </row>
    <row r="67" customFormat="false" ht="15" hidden="false" customHeight="false" outlineLevel="0" collapsed="false">
      <c r="A67" s="35" t="s">
        <v>369</v>
      </c>
      <c r="B67" s="35" t="s">
        <v>366</v>
      </c>
      <c r="C67" s="37" t="s">
        <v>477</v>
      </c>
      <c r="D67" s="58" t="n">
        <f aca="false">Models!G68</f>
        <v>33000</v>
      </c>
      <c r="E67" s="59" t="n">
        <f aca="false">Models!F68</f>
        <v>1.00515463917526</v>
      </c>
      <c r="F67" s="60" t="n">
        <f aca="false">Depreciation!$C$32</f>
        <v>95000</v>
      </c>
      <c r="G67" s="47" t="n">
        <f aca="false">MIN($D67,$D67*Depreciation!$E$32*$E67)</f>
        <v>17618.1849312146</v>
      </c>
      <c r="H67" s="48" t="n">
        <f aca="false">IFERROR(($D67-G67)/(1*Inputs!$C$5),0)</f>
        <v>0.279669364887008</v>
      </c>
      <c r="I67" s="60" t="n">
        <f aca="false">Depreciation!$C$33</f>
        <v>150000</v>
      </c>
      <c r="J67" s="47" t="n">
        <f aca="false">MIN($D67,$D67*Depreciation!$E$33*$E67)</f>
        <v>10182.5992524066</v>
      </c>
      <c r="K67" s="48" t="n">
        <f aca="false">IFERROR(($D67-J67)/(2*Inputs!$C$5),0)</f>
        <v>0.207430915887212</v>
      </c>
      <c r="L67" s="60" t="n">
        <f aca="false">Depreciation!$C$34</f>
        <v>177500</v>
      </c>
      <c r="M67" s="47" t="n">
        <f aca="false">MIN($D67,$D67*Depreciation!$E$34*$E67)</f>
        <v>8640.90796110125</v>
      </c>
      <c r="N67" s="48" t="n">
        <f aca="false">IFERROR(($D67-M67)/(2.5*Inputs!$C$5),0)</f>
        <v>0.177157033010173</v>
      </c>
      <c r="O67" s="60" t="n">
        <f aca="false">Depreciation!$C$35</f>
        <v>205000</v>
      </c>
      <c r="P67" s="47" t="n">
        <f aca="false">MIN($D67,$D67*Depreciation!$E$35*$E67)</f>
        <v>7156.42228357343</v>
      </c>
      <c r="Q67" s="48" t="n">
        <f aca="false">IFERROR(($D67-P67)/(3*Inputs!$C$5),0)</f>
        <v>0.156627743735919</v>
      </c>
      <c r="R67" s="60" t="n">
        <f aca="false">Depreciation!$C$36</f>
        <v>260000</v>
      </c>
      <c r="S67" s="47" t="n">
        <f aca="false">MIN($D67,$D67*Depreciation!$E$36*$E67)</f>
        <v>5148.50523998088</v>
      </c>
      <c r="T67" s="48" t="n">
        <f aca="false">IFERROR(($D67-S67)/(4*Inputs!$C$5),0)</f>
        <v>0.126597703454632</v>
      </c>
    </row>
    <row r="68" customFormat="false" ht="15" hidden="false" customHeight="false" outlineLevel="0" collapsed="false">
      <c r="A68" s="35" t="s">
        <v>371</v>
      </c>
      <c r="B68" s="35" t="s">
        <v>366</v>
      </c>
      <c r="C68" s="37" t="s">
        <v>477</v>
      </c>
      <c r="D68" s="58" t="n">
        <f aca="false">Models!G69</f>
        <v>35000</v>
      </c>
      <c r="E68" s="59" t="n">
        <f aca="false">Models!F69</f>
        <v>1.00343642611684</v>
      </c>
      <c r="F68" s="60" t="n">
        <f aca="false">Depreciation!$C$32</f>
        <v>95000</v>
      </c>
      <c r="G68" s="47" t="n">
        <f aca="false">MIN($D68,$D68*Depreciation!$E$32*$E68)</f>
        <v>18654.0119137025</v>
      </c>
      <c r="H68" s="48" t="n">
        <f aca="false">IFERROR(($D68-G68)/(1*Inputs!$C$5),0)</f>
        <v>0.297199783387228</v>
      </c>
      <c r="I68" s="60" t="n">
        <f aca="false">Depreciation!$C$33</f>
        <v>150000</v>
      </c>
      <c r="J68" s="47" t="n">
        <f aca="false">MIN($D68,$D68*Depreciation!$E$33*$E68)</f>
        <v>10781.2654089195</v>
      </c>
      <c r="K68" s="48" t="n">
        <f aca="false">IFERROR(($D68-J68)/(2*Inputs!$C$5),0)</f>
        <v>0.220170314464368</v>
      </c>
      <c r="L68" s="60" t="n">
        <f aca="false">Depreciation!$C$34</f>
        <v>177500</v>
      </c>
      <c r="M68" s="47" t="n">
        <f aca="false">MIN($D68,$D68*Depreciation!$E$34*$E68)</f>
        <v>9148.93337088369</v>
      </c>
      <c r="N68" s="48" t="n">
        <f aca="false">IFERROR(($D68-M68)/(2.5*Inputs!$C$5),0)</f>
        <v>0.188007757302664</v>
      </c>
      <c r="O68" s="60" t="n">
        <f aca="false">Depreciation!$C$35</f>
        <v>205000</v>
      </c>
      <c r="P68" s="47" t="n">
        <f aca="false">MIN($D68,$D68*Depreciation!$E$35*$E68)</f>
        <v>7577.17023963952</v>
      </c>
      <c r="Q68" s="48" t="n">
        <f aca="false">IFERROR(($D68-P68)/(3*Inputs!$C$5),0)</f>
        <v>0.166198968244609</v>
      </c>
      <c r="R68" s="60" t="n">
        <f aca="false">Depreciation!$C$36</f>
        <v>260000</v>
      </c>
      <c r="S68" s="47" t="n">
        <f aca="false">MIN($D68,$D68*Depreciation!$E$36*$E68)</f>
        <v>5451.20161125145</v>
      </c>
      <c r="T68" s="48" t="n">
        <f aca="false">IFERROR(($D68-S68)/(4*Inputs!$C$5),0)</f>
        <v>0.134312719948857</v>
      </c>
    </row>
    <row r="69" customFormat="false" ht="15" hidden="false" customHeight="false" outlineLevel="0" collapsed="false">
      <c r="A69" s="35" t="s">
        <v>374</v>
      </c>
      <c r="B69" s="35" t="s">
        <v>366</v>
      </c>
      <c r="C69" s="49" t="s">
        <v>478</v>
      </c>
      <c r="D69" s="58" t="n">
        <f aca="false">Models!G70</f>
        <v>32000</v>
      </c>
      <c r="E69" s="59" t="n">
        <f aca="false">Models!F70</f>
        <v>0.972508591065292</v>
      </c>
      <c r="F69" s="60" t="n">
        <f aca="false">Depreciation!$C$32</f>
        <v>95000</v>
      </c>
      <c r="G69" s="47" t="n">
        <f aca="false">MIN($D69,$D69*Depreciation!$E$32*$E69)</f>
        <v>16529.4258209872</v>
      </c>
      <c r="H69" s="48" t="n">
        <f aca="false">IFERROR(($D69-G69)/(1*Inputs!$C$5),0)</f>
        <v>0.281283166891141</v>
      </c>
      <c r="I69" s="60" t="n">
        <f aca="false">Depreciation!$C$33</f>
        <v>150000</v>
      </c>
      <c r="J69" s="47" t="n">
        <f aca="false">MIN($D69,$D69*Depreciation!$E$33*$E69)</f>
        <v>9553.34046410717</v>
      </c>
      <c r="K69" s="48" t="n">
        <f aca="false">IFERROR(($D69-J69)/(2*Inputs!$C$5),0)</f>
        <v>0.204060541235389</v>
      </c>
      <c r="L69" s="60" t="n">
        <f aca="false">Depreciation!$C$34</f>
        <v>177500</v>
      </c>
      <c r="M69" s="47" t="n">
        <f aca="false">MIN($D69,$D69*Depreciation!$E$34*$E69)</f>
        <v>8106.92178147971</v>
      </c>
      <c r="N69" s="48" t="n">
        <f aca="false">IFERROR(($D69-M69)/(2.5*Inputs!$C$5),0)</f>
        <v>0.173767841589239</v>
      </c>
      <c r="O69" s="60" t="n">
        <f aca="false">Depreciation!$C$35</f>
        <v>205000</v>
      </c>
      <c r="P69" s="47" t="n">
        <f aca="false">MIN($D69,$D69*Depreciation!$E$35*$E69)</f>
        <v>6714.17355089779</v>
      </c>
      <c r="Q69" s="48" t="n">
        <f aca="false">IFERROR(($D69-P69)/(3*Inputs!$C$5),0)</f>
        <v>0.153247433024862</v>
      </c>
      <c r="R69" s="60" t="n">
        <f aca="false">Depreciation!$C$36</f>
        <v>260000</v>
      </c>
      <c r="S69" s="47" t="n">
        <f aca="false">MIN($D69,$D69*Depreciation!$E$36*$E69)</f>
        <v>4830.34068409913</v>
      </c>
      <c r="T69" s="48" t="n">
        <f aca="false">IFERROR(($D69-S69)/(4*Inputs!$C$5),0)</f>
        <v>0.123498451435913</v>
      </c>
    </row>
    <row r="70" customFormat="false" ht="15" hidden="false" customHeight="false" outlineLevel="0" collapsed="false">
      <c r="A70" s="35" t="s">
        <v>377</v>
      </c>
      <c r="B70" s="35" t="s">
        <v>366</v>
      </c>
      <c r="C70" s="49" t="s">
        <v>478</v>
      </c>
      <c r="D70" s="58" t="n">
        <f aca="false">Models!G71</f>
        <v>42000</v>
      </c>
      <c r="E70" s="59" t="n">
        <f aca="false">Models!F71</f>
        <v>0.972508591065292</v>
      </c>
      <c r="F70" s="60" t="n">
        <f aca="false">Depreciation!$C$32</f>
        <v>95000</v>
      </c>
      <c r="G70" s="47" t="n">
        <f aca="false">MIN($D70,$D70*Depreciation!$E$32*$E70)</f>
        <v>21694.8713900457</v>
      </c>
      <c r="H70" s="48" t="n">
        <f aca="false">IFERROR(($D70-G70)/(1*Inputs!$C$5),0)</f>
        <v>0.369184156544623</v>
      </c>
      <c r="I70" s="60" t="n">
        <f aca="false">Depreciation!$C$33</f>
        <v>150000</v>
      </c>
      <c r="J70" s="47" t="n">
        <f aca="false">MIN($D70,$D70*Depreciation!$E$33*$E70)</f>
        <v>12538.7593591407</v>
      </c>
      <c r="K70" s="48" t="n">
        <f aca="false">IFERROR(($D70-J70)/(2*Inputs!$C$5),0)</f>
        <v>0.267829460371449</v>
      </c>
      <c r="L70" s="60" t="n">
        <f aca="false">Depreciation!$C$34</f>
        <v>177500</v>
      </c>
      <c r="M70" s="47" t="n">
        <f aca="false">MIN($D70,$D70*Depreciation!$E$34*$E70)</f>
        <v>10640.3348381921</v>
      </c>
      <c r="N70" s="48" t="n">
        <f aca="false">IFERROR(($D70-M70)/(2.5*Inputs!$C$5),0)</f>
        <v>0.228070292085875</v>
      </c>
      <c r="O70" s="60" t="n">
        <f aca="false">Depreciation!$C$35</f>
        <v>205000</v>
      </c>
      <c r="P70" s="47" t="n">
        <f aca="false">MIN($D70,$D70*Depreciation!$E$35*$E70)</f>
        <v>8812.35278555336</v>
      </c>
      <c r="Q70" s="48" t="n">
        <f aca="false">IFERROR(($D70-P70)/(3*Inputs!$C$5),0)</f>
        <v>0.201137255845131</v>
      </c>
      <c r="R70" s="60" t="n">
        <f aca="false">Depreciation!$C$36</f>
        <v>260000</v>
      </c>
      <c r="S70" s="47" t="n">
        <f aca="false">MIN($D70,$D70*Depreciation!$E$36*$E70)</f>
        <v>6339.82214788011</v>
      </c>
      <c r="T70" s="48" t="n">
        <f aca="false">IFERROR(($D70-S70)/(4*Inputs!$C$5),0)</f>
        <v>0.162091717509636</v>
      </c>
    </row>
    <row r="71" customFormat="false" ht="15" hidden="false" customHeight="false" outlineLevel="0" collapsed="false">
      <c r="A71" s="35" t="s">
        <v>379</v>
      </c>
      <c r="B71" s="35" t="s">
        <v>366</v>
      </c>
      <c r="C71" s="49" t="s">
        <v>478</v>
      </c>
      <c r="D71" s="58" t="n">
        <f aca="false">Models!G72</f>
        <v>37000</v>
      </c>
      <c r="E71" s="59" t="n">
        <f aca="false">Models!F72</f>
        <v>0.982817869415808</v>
      </c>
      <c r="F71" s="60" t="n">
        <f aca="false">Depreciation!$C$32</f>
        <v>95000</v>
      </c>
      <c r="G71" s="47" t="n">
        <f aca="false">MIN($D71,$D71*Depreciation!$E$32*$E71)</f>
        <v>19314.7508875538</v>
      </c>
      <c r="H71" s="48" t="n">
        <f aca="false">IFERROR(($D71-G71)/(1*Inputs!$C$5),0)</f>
        <v>0.321549983862659</v>
      </c>
      <c r="I71" s="60" t="n">
        <f aca="false">Depreciation!$C$33</f>
        <v>150000</v>
      </c>
      <c r="J71" s="47" t="n">
        <f aca="false">MIN($D71,$D71*Depreciation!$E$33*$E71)</f>
        <v>11163.1458470828</v>
      </c>
      <c r="K71" s="48" t="n">
        <f aca="false">IFERROR(($D71-J71)/(2*Inputs!$C$5),0)</f>
        <v>0.234880492299247</v>
      </c>
      <c r="L71" s="60" t="n">
        <f aca="false">Depreciation!$C$34</f>
        <v>177500</v>
      </c>
      <c r="M71" s="47" t="n">
        <f aca="false">MIN($D71,$D71*Depreciation!$E$34*$E71)</f>
        <v>9472.99539439248</v>
      </c>
      <c r="N71" s="48" t="n">
        <f aca="false">IFERROR(($D71-M71)/(2.5*Inputs!$C$5),0)</f>
        <v>0.200196397131691</v>
      </c>
      <c r="O71" s="60" t="n">
        <f aca="false">Depreciation!$C$35</f>
        <v>205000</v>
      </c>
      <c r="P71" s="47" t="n">
        <f aca="false">MIN($D71,$D71*Depreciation!$E$35*$E71)</f>
        <v>7845.55924421383</v>
      </c>
      <c r="Q71" s="48" t="n">
        <f aca="false">IFERROR(($D71-P71)/(3*Inputs!$C$5),0)</f>
        <v>0.176693580338098</v>
      </c>
      <c r="R71" s="60" t="n">
        <f aca="false">Depreciation!$C$36</f>
        <v>260000</v>
      </c>
      <c r="S71" s="47" t="n">
        <f aca="false">MIN($D71,$D71*Depreciation!$E$36*$E71)</f>
        <v>5644.28722605312</v>
      </c>
      <c r="T71" s="48" t="n">
        <f aca="false">IFERROR(($D71-S71)/(4*Inputs!$C$5),0)</f>
        <v>0.142525967154304</v>
      </c>
    </row>
    <row r="72" customFormat="false" ht="15" hidden="false" customHeight="false" outlineLevel="0" collapsed="false">
      <c r="A72" s="35" t="s">
        <v>382</v>
      </c>
      <c r="B72" s="35" t="s">
        <v>245</v>
      </c>
      <c r="C72" s="49" t="s">
        <v>478</v>
      </c>
      <c r="D72" s="58" t="n">
        <f aca="false">Models!G73</f>
        <v>32000</v>
      </c>
      <c r="E72" s="59" t="n">
        <f aca="false">Models!F73</f>
        <v>1.12199312714777</v>
      </c>
      <c r="F72" s="60" t="n">
        <f aca="false">Depreciation!$C$32</f>
        <v>95000</v>
      </c>
      <c r="G72" s="47" t="n">
        <f aca="false">MIN($D72,$D72*Depreciation!$E$32*$E72)</f>
        <v>19070.1679524817</v>
      </c>
      <c r="H72" s="48" t="n">
        <f aca="false">IFERROR(($D72-G72)/(1*Inputs!$C$5),0)</f>
        <v>0.235087855409423</v>
      </c>
      <c r="I72" s="60" t="n">
        <f aca="false">Depreciation!$C$33</f>
        <v>150000</v>
      </c>
      <c r="J72" s="47" t="n">
        <f aca="false">MIN($D72,$D72*Depreciation!$E$33*$E72)</f>
        <v>11021.7867898622</v>
      </c>
      <c r="K72" s="48" t="n">
        <f aca="false">IFERROR(($D72-J72)/(2*Inputs!$C$5),0)</f>
        <v>0.190711029183071</v>
      </c>
      <c r="L72" s="60" t="n">
        <f aca="false">Depreciation!$C$34</f>
        <v>177500</v>
      </c>
      <c r="M72" s="47" t="n">
        <f aca="false">MIN($D72,$D72*Depreciation!$E$34*$E72)</f>
        <v>9353.03873375663</v>
      </c>
      <c r="N72" s="48" t="n">
        <f aca="false">IFERROR(($D72-M72)/(2.5*Inputs!$C$5),0)</f>
        <v>0.164705172845406</v>
      </c>
      <c r="O72" s="60" t="n">
        <f aca="false">Depreciation!$C$35</f>
        <v>205000</v>
      </c>
      <c r="P72" s="47" t="n">
        <f aca="false">MIN($D72,$D72*Depreciation!$E$35*$E72)</f>
        <v>7746.21082815594</v>
      </c>
      <c r="Q72" s="48" t="n">
        <f aca="false">IFERROR(($D72-P72)/(3*Inputs!$C$5),0)</f>
        <v>0.14699266164754</v>
      </c>
      <c r="R72" s="60" t="n">
        <f aca="false">Depreciation!$C$36</f>
        <v>260000</v>
      </c>
      <c r="S72" s="47" t="n">
        <f aca="false">MIN($D72,$D72*Depreciation!$E$36*$E72)</f>
        <v>5572.81354543592</v>
      </c>
      <c r="T72" s="48" t="n">
        <f aca="false">IFERROR(($D72-S72)/(4*Inputs!$C$5),0)</f>
        <v>0.120123574793473</v>
      </c>
    </row>
    <row r="73" customFormat="false" ht="15" hidden="false" customHeight="false" outlineLevel="0" collapsed="false">
      <c r="A73" s="35" t="s">
        <v>385</v>
      </c>
      <c r="B73" s="35" t="s">
        <v>245</v>
      </c>
      <c r="C73" s="49" t="s">
        <v>478</v>
      </c>
      <c r="D73" s="58" t="n">
        <f aca="false">Models!G74</f>
        <v>29000</v>
      </c>
      <c r="E73" s="59" t="n">
        <f aca="false">Models!F74</f>
        <v>1.01546391752577</v>
      </c>
      <c r="F73" s="60" t="n">
        <f aca="false">Depreciation!$C$32</f>
        <v>95000</v>
      </c>
      <c r="G73" s="47" t="n">
        <f aca="false">MIN($D73,$D73*Depreciation!$E$32*$E73)</f>
        <v>15641.443747013</v>
      </c>
      <c r="H73" s="48" t="n">
        <f aca="false">IFERROR(($D73-G73)/(1*Inputs!$C$5),0)</f>
        <v>0.242882840963399</v>
      </c>
      <c r="I73" s="60" t="n">
        <f aca="false">Depreciation!$C$33</f>
        <v>150000</v>
      </c>
      <c r="J73" s="47" t="n">
        <f aca="false">MIN($D73,$D73*Depreciation!$E$33*$E73)</f>
        <v>9040.12269292915</v>
      </c>
      <c r="K73" s="48" t="n">
        <f aca="false">IFERROR(($D73-J73)/(2*Inputs!$C$5),0)</f>
        <v>0.18145343006428</v>
      </c>
      <c r="L73" s="60" t="n">
        <f aca="false">Depreciation!$C$34</f>
        <v>177500</v>
      </c>
      <c r="M73" s="47" t="n">
        <f aca="false">MIN($D73,$D73*Depreciation!$E$34*$E73)</f>
        <v>7671.40748745477</v>
      </c>
      <c r="N73" s="48" t="n">
        <f aca="false">IFERROR(($D73-M73)/(2.5*Inputs!$C$5),0)</f>
        <v>0.155117036454874</v>
      </c>
      <c r="O73" s="60" t="n">
        <f aca="false">Depreciation!$C$35</f>
        <v>205000</v>
      </c>
      <c r="P73" s="47" t="n">
        <f aca="false">MIN($D73,$D73*Depreciation!$E$35*$E73)</f>
        <v>6353.47948812043</v>
      </c>
      <c r="Q73" s="48" t="n">
        <f aca="false">IFERROR(($D73-P73)/(3*Inputs!$C$5),0)</f>
        <v>0.137251639465937</v>
      </c>
      <c r="R73" s="60" t="n">
        <f aca="false">Depreciation!$C$36</f>
        <v>260000</v>
      </c>
      <c r="S73" s="47" t="n">
        <f aca="false">MIN($D73,$D73*Depreciation!$E$36*$E73)</f>
        <v>4570.84855260463</v>
      </c>
      <c r="T73" s="48" t="n">
        <f aca="false">IFERROR(($D73-S73)/(4*Inputs!$C$5),0)</f>
        <v>0.111041597488161</v>
      </c>
    </row>
    <row r="74" customFormat="false" ht="15" hidden="false" customHeight="false" outlineLevel="0" collapsed="false">
      <c r="A74" s="35" t="s">
        <v>388</v>
      </c>
      <c r="B74" s="35" t="s">
        <v>245</v>
      </c>
      <c r="C74" s="49" t="s">
        <v>478</v>
      </c>
      <c r="D74" s="58" t="n">
        <f aca="false">Models!G75</f>
        <v>30000</v>
      </c>
      <c r="E74" s="59" t="n">
        <f aca="false">Models!F75</f>
        <v>1.06357388316151</v>
      </c>
      <c r="F74" s="60" t="n">
        <f aca="false">Depreciation!$C$32</f>
        <v>95000</v>
      </c>
      <c r="G74" s="47" t="n">
        <f aca="false">MIN($D74,$D74*Depreciation!$E$32*$E74)</f>
        <v>16947.4071055506</v>
      </c>
      <c r="H74" s="48" t="n">
        <f aca="false">IFERROR(($D74-G74)/(1*Inputs!$C$5),0)</f>
        <v>0.237319870808171</v>
      </c>
      <c r="I74" s="60" t="n">
        <f aca="false">Depreciation!$C$33</f>
        <v>150000</v>
      </c>
      <c r="J74" s="47" t="n">
        <f aca="false">MIN($D74,$D74*Depreciation!$E$33*$E74)</f>
        <v>9794.91676338727</v>
      </c>
      <c r="K74" s="48" t="n">
        <f aca="false">IFERROR(($D74-J74)/(2*Inputs!$C$5),0)</f>
        <v>0.183682574878298</v>
      </c>
      <c r="L74" s="60" t="n">
        <f aca="false">Depreciation!$C$34</f>
        <v>177500</v>
      </c>
      <c r="M74" s="47" t="n">
        <f aca="false">MIN($D74,$D74*Depreciation!$E$34*$E74)</f>
        <v>8311.92234331262</v>
      </c>
      <c r="N74" s="48" t="n">
        <f aca="false">IFERROR(($D74-M74)/(2.5*Inputs!$C$5),0)</f>
        <v>0.157731473866817</v>
      </c>
      <c r="O74" s="60" t="n">
        <f aca="false">Depreciation!$C$35</f>
        <v>205000</v>
      </c>
      <c r="P74" s="47" t="n">
        <f aca="false">MIN($D74,$D74*Depreciation!$E$35*$E74)</f>
        <v>6883.9555455042</v>
      </c>
      <c r="Q74" s="48" t="n">
        <f aca="false">IFERROR(($D74-P74)/(3*Inputs!$C$5),0)</f>
        <v>0.140097239118156</v>
      </c>
      <c r="R74" s="60" t="n">
        <f aca="false">Depreciation!$C$36</f>
        <v>260000</v>
      </c>
      <c r="S74" s="47" t="n">
        <f aca="false">MIN($D74,$D74*Depreciation!$E$36*$E74)</f>
        <v>4952.48600395985</v>
      </c>
      <c r="T74" s="48" t="n">
        <f aca="false">IFERROR(($D74-S74)/(4*Inputs!$C$5),0)</f>
        <v>0.113852336345637</v>
      </c>
    </row>
    <row r="75" customFormat="false" ht="15" hidden="false" customHeight="false" outlineLevel="0" collapsed="false">
      <c r="A75" s="35" t="s">
        <v>391</v>
      </c>
      <c r="B75" s="35" t="s">
        <v>245</v>
      </c>
      <c r="C75" s="37" t="s">
        <v>477</v>
      </c>
      <c r="D75" s="58" t="n">
        <f aca="false">Models!G76</f>
        <v>29000</v>
      </c>
      <c r="E75" s="59" t="n">
        <f aca="false">Models!F76</f>
        <v>1.06013745704467</v>
      </c>
      <c r="F75" s="60" t="n">
        <f aca="false">Depreciation!$C$32</f>
        <v>95000</v>
      </c>
      <c r="G75" s="47" t="n">
        <f aca="false">MIN($D75,$D75*Depreciation!$E$32*$E75)</f>
        <v>16329.5614076261</v>
      </c>
      <c r="H75" s="48" t="n">
        <f aca="false">IFERROR(($D75-G75)/(1*Inputs!$C$5),0)</f>
        <v>0.230371610770434</v>
      </c>
      <c r="I75" s="60" t="n">
        <f aca="false">Depreciation!$C$33</f>
        <v>150000</v>
      </c>
      <c r="J75" s="47" t="n">
        <f aca="false">MIN($D75,$D75*Depreciation!$E$33*$E75)</f>
        <v>9437.82690615446</v>
      </c>
      <c r="K75" s="48" t="n">
        <f aca="false">IFERROR(($D75-J75)/(2*Inputs!$C$5),0)</f>
        <v>0.177837937216778</v>
      </c>
      <c r="L75" s="60" t="n">
        <f aca="false">Depreciation!$C$34</f>
        <v>177500</v>
      </c>
      <c r="M75" s="47" t="n">
        <f aca="false">MIN($D75,$D75*Depreciation!$E$34*$E75)</f>
        <v>8008.8974953631</v>
      </c>
      <c r="N75" s="48" t="n">
        <f aca="false">IFERROR(($D75-M75)/(2.5*Inputs!$C$5),0)</f>
        <v>0.152662563670087</v>
      </c>
      <c r="O75" s="60" t="n">
        <f aca="false">Depreciation!$C$35</f>
        <v>205000</v>
      </c>
      <c r="P75" s="47" t="n">
        <f aca="false">MIN($D75,$D75*Depreciation!$E$35*$E75)</f>
        <v>6632.98958404451</v>
      </c>
      <c r="Q75" s="48" t="n">
        <f aca="false">IFERROR(($D75-P75)/(3*Inputs!$C$5),0)</f>
        <v>0.135557638884579</v>
      </c>
      <c r="R75" s="60" t="n">
        <f aca="false">Depreciation!$C$36</f>
        <v>260000</v>
      </c>
      <c r="S75" s="47" t="n">
        <f aca="false">MIN($D75,$D75*Depreciation!$E$36*$E75)</f>
        <v>4771.93495255001</v>
      </c>
      <c r="T75" s="48" t="n">
        <f aca="false">IFERROR(($D75-S75)/(4*Inputs!$C$5),0)</f>
        <v>0.1101275683975</v>
      </c>
    </row>
    <row r="76" customFormat="false" ht="15" hidden="false" customHeight="false" outlineLevel="0" collapsed="false">
      <c r="A76" s="35" t="s">
        <v>394</v>
      </c>
      <c r="B76" s="35" t="s">
        <v>366</v>
      </c>
      <c r="C76" s="49" t="s">
        <v>478</v>
      </c>
      <c r="D76" s="58" t="n">
        <f aca="false">Models!G77</f>
        <v>30000</v>
      </c>
      <c r="E76" s="59" t="n">
        <f aca="false">Models!F77</f>
        <v>0.891752577319588</v>
      </c>
      <c r="F76" s="60" t="n">
        <f aca="false">Depreciation!$C$32</f>
        <v>95000</v>
      </c>
      <c r="G76" s="47" t="n">
        <f aca="false">MIN($D76,$D76*Depreciation!$E$32*$E76)</f>
        <v>14209.5384293712</v>
      </c>
      <c r="H76" s="48" t="n">
        <f aca="false">IFERROR(($D76-G76)/(1*Inputs!$C$5),0)</f>
        <v>0.28709930128416</v>
      </c>
      <c r="I76" s="60" t="n">
        <f aca="false">Depreciation!$C$33</f>
        <v>150000</v>
      </c>
      <c r="J76" s="47" t="n">
        <f aca="false">MIN($D76,$D76*Depreciation!$E$33*$E76)</f>
        <v>8212.53925718577</v>
      </c>
      <c r="K76" s="48" t="n">
        <f aca="false">IFERROR(($D76-J76)/(2*Inputs!$C$5),0)</f>
        <v>0.198067824934675</v>
      </c>
      <c r="L76" s="60" t="n">
        <f aca="false">Depreciation!$C$34</f>
        <v>177500</v>
      </c>
      <c r="M76" s="47" t="n">
        <f aca="false">MIN($D76,$D76*Depreciation!$E$34*$E76)</f>
        <v>6969.12390335905</v>
      </c>
      <c r="N76" s="48" t="n">
        <f aca="false">IFERROR(($D76-M76)/(2.5*Inputs!$C$5),0)</f>
        <v>0.167497280702843</v>
      </c>
      <c r="O76" s="60" t="n">
        <f aca="false">Depreciation!$C$35</f>
        <v>205000</v>
      </c>
      <c r="P76" s="47" t="n">
        <f aca="false">MIN($D76,$D76*Depreciation!$E$35*$E76)</f>
        <v>5771.84641052775</v>
      </c>
      <c r="Q76" s="48" t="n">
        <f aca="false">IFERROR(($D76-P76)/(3*Inputs!$C$5),0)</f>
        <v>0.14683729448165</v>
      </c>
      <c r="R76" s="60" t="n">
        <f aca="false">Depreciation!$C$36</f>
        <v>260000</v>
      </c>
      <c r="S76" s="47" t="n">
        <f aca="false">MIN($D76,$D76*Depreciation!$E$36*$E76)</f>
        <v>4152.40748958831</v>
      </c>
      <c r="T76" s="48" t="n">
        <f aca="false">IFERROR(($D76-S76)/(4*Inputs!$C$5),0)</f>
        <v>0.117489056865508</v>
      </c>
    </row>
    <row r="77" customFormat="false" ht="15" hidden="false" customHeight="false" outlineLevel="0" collapsed="false">
      <c r="A77" s="35" t="s">
        <v>397</v>
      </c>
      <c r="B77" s="35" t="s">
        <v>245</v>
      </c>
      <c r="C77" s="37" t="s">
        <v>477</v>
      </c>
      <c r="D77" s="58" t="n">
        <f aca="false">Models!G78</f>
        <v>28500</v>
      </c>
      <c r="E77" s="59" t="n">
        <f aca="false">Models!F78</f>
        <v>0.989690721649485</v>
      </c>
      <c r="F77" s="60" t="n">
        <f aca="false">Depreciation!$C$32</f>
        <v>95000</v>
      </c>
      <c r="G77" s="47" t="n">
        <f aca="false">MIN($D77,$D77*Depreciation!$E$32*$E77)</f>
        <v>14981.6173960538</v>
      </c>
      <c r="H77" s="48" t="n">
        <f aca="false">IFERROR(($D77-G77)/(1*Inputs!$C$5),0)</f>
        <v>0.245788774617204</v>
      </c>
      <c r="I77" s="60" t="n">
        <f aca="false">Depreciation!$C$33</f>
        <v>150000</v>
      </c>
      <c r="J77" s="47" t="n">
        <f aca="false">MIN($D77,$D77*Depreciation!$E$33*$E77)</f>
        <v>8658.7697139346</v>
      </c>
      <c r="K77" s="48" t="n">
        <f aca="false">IFERROR(($D77-J77)/(2*Inputs!$C$5),0)</f>
        <v>0.180374820782413</v>
      </c>
      <c r="L77" s="60" t="n">
        <f aca="false">Depreciation!$C$34</f>
        <v>177500</v>
      </c>
      <c r="M77" s="47" t="n">
        <f aca="false">MIN($D77,$D77*Depreciation!$E$34*$E77)</f>
        <v>7347.79306342596</v>
      </c>
      <c r="N77" s="48" t="n">
        <f aca="false">IFERROR(($D77-M77)/(2.5*Inputs!$C$5),0)</f>
        <v>0.153834232265993</v>
      </c>
      <c r="O77" s="60" t="n">
        <f aca="false">Depreciation!$C$35</f>
        <v>205000</v>
      </c>
      <c r="P77" s="47" t="n">
        <f aca="false">MIN($D77,$D77*Depreciation!$E$35*$E77)</f>
        <v>6085.46118659111</v>
      </c>
      <c r="Q77" s="48" t="n">
        <f aca="false">IFERROR(($D77-P77)/(3*Inputs!$C$5),0)</f>
        <v>0.135845689778236</v>
      </c>
      <c r="R77" s="60" t="n">
        <f aca="false">Depreciation!$C$36</f>
        <v>260000</v>
      </c>
      <c r="S77" s="47" t="n">
        <f aca="false">MIN($D77,$D77*Depreciation!$E$36*$E77)</f>
        <v>4378.02963064109</v>
      </c>
      <c r="T77" s="48" t="n">
        <f aca="false">IFERROR(($D77-S77)/(4*Inputs!$C$5),0)</f>
        <v>0.109645319860722</v>
      </c>
    </row>
    <row r="78" customFormat="false" ht="15" hidden="false" customHeight="false" outlineLevel="0" collapsed="false">
      <c r="A78" s="35" t="s">
        <v>401</v>
      </c>
      <c r="B78" s="35" t="s">
        <v>402</v>
      </c>
      <c r="C78" s="37" t="s">
        <v>477</v>
      </c>
      <c r="D78" s="58" t="n">
        <f aca="false">Models!G79</f>
        <v>25000</v>
      </c>
      <c r="E78" s="59" t="n">
        <f aca="false">Models!F79</f>
        <v>1.1340206185567</v>
      </c>
      <c r="F78" s="60" t="n">
        <f aca="false">Depreciation!$C$32</f>
        <v>95000</v>
      </c>
      <c r="G78" s="47" t="n">
        <f aca="false">MIN($D78,$D78*Depreciation!$E$32*$E78)</f>
        <v>15058.2777189868</v>
      </c>
      <c r="H78" s="48" t="n">
        <f aca="false">IFERROR(($D78-G78)/(1*Inputs!$C$5),0)</f>
        <v>0.180758586927512</v>
      </c>
      <c r="I78" s="60" t="n">
        <f aca="false">Depreciation!$C$33</f>
        <v>150000</v>
      </c>
      <c r="J78" s="47" t="n">
        <f aca="false">MIN($D78,$D78*Depreciation!$E$33*$E78)</f>
        <v>8703.07628410823</v>
      </c>
      <c r="K78" s="48" t="n">
        <f aca="false">IFERROR(($D78-J78)/(2*Inputs!$C$5),0)</f>
        <v>0.148153851962652</v>
      </c>
      <c r="L78" s="60" t="n">
        <f aca="false">Depreciation!$C$34</f>
        <v>177500</v>
      </c>
      <c r="M78" s="47" t="n">
        <f aca="false">MIN($D78,$D78*Depreciation!$E$34*$E78)</f>
        <v>7385.39141974466</v>
      </c>
      <c r="N78" s="48" t="n">
        <f aca="false">IFERROR(($D78-M78)/(2.5*Inputs!$C$5),0)</f>
        <v>0.128106244220039</v>
      </c>
      <c r="O78" s="60" t="n">
        <f aca="false">Depreciation!$C$35</f>
        <v>205000</v>
      </c>
      <c r="P78" s="47" t="n">
        <f aca="false">MIN($D78,$D78*Depreciation!$E$35*$E78)</f>
        <v>6116.60024237045</v>
      </c>
      <c r="Q78" s="48" t="n">
        <f aca="false">IFERROR(($D78-P78)/(3*Inputs!$C$5),0)</f>
        <v>0.114444847015937</v>
      </c>
      <c r="R78" s="60" t="n">
        <f aca="false">Depreciation!$C$36</f>
        <v>260000</v>
      </c>
      <c r="S78" s="47" t="n">
        <f aca="false">MIN($D78,$D78*Depreciation!$E$36*$E78)</f>
        <v>4400.43182904349</v>
      </c>
      <c r="T78" s="48" t="n">
        <f aca="false">IFERROR(($D78-S78)/(4*Inputs!$C$5),0)</f>
        <v>0.0936344007770751</v>
      </c>
    </row>
    <row r="79" customFormat="false" ht="15" hidden="false" customHeight="false" outlineLevel="0" collapsed="false">
      <c r="A79" s="35" t="s">
        <v>405</v>
      </c>
      <c r="B79" s="35" t="s">
        <v>402</v>
      </c>
      <c r="C79" s="49" t="s">
        <v>478</v>
      </c>
      <c r="D79" s="58" t="n">
        <f aca="false">Models!G80</f>
        <v>25000</v>
      </c>
      <c r="E79" s="59" t="n">
        <f aca="false">Models!F80</f>
        <v>1.1340206185567</v>
      </c>
      <c r="F79" s="60" t="n">
        <f aca="false">Depreciation!$C$32</f>
        <v>95000</v>
      </c>
      <c r="G79" s="47" t="n">
        <f aca="false">MIN($D79,$D79*Depreciation!$E$32*$E79)</f>
        <v>15058.2777189868</v>
      </c>
      <c r="H79" s="48" t="n">
        <f aca="false">IFERROR(($D79-G79)/(1*Inputs!$C$5),0)</f>
        <v>0.180758586927512</v>
      </c>
      <c r="I79" s="60" t="n">
        <f aca="false">Depreciation!$C$33</f>
        <v>150000</v>
      </c>
      <c r="J79" s="47" t="n">
        <f aca="false">MIN($D79,$D79*Depreciation!$E$33*$E79)</f>
        <v>8703.07628410823</v>
      </c>
      <c r="K79" s="48" t="n">
        <f aca="false">IFERROR(($D79-J79)/(2*Inputs!$C$5),0)</f>
        <v>0.148153851962652</v>
      </c>
      <c r="L79" s="60" t="n">
        <f aca="false">Depreciation!$C$34</f>
        <v>177500</v>
      </c>
      <c r="M79" s="47" t="n">
        <f aca="false">MIN($D79,$D79*Depreciation!$E$34*$E79)</f>
        <v>7385.39141974466</v>
      </c>
      <c r="N79" s="48" t="n">
        <f aca="false">IFERROR(($D79-M79)/(2.5*Inputs!$C$5),0)</f>
        <v>0.128106244220039</v>
      </c>
      <c r="O79" s="60" t="n">
        <f aca="false">Depreciation!$C$35</f>
        <v>205000</v>
      </c>
      <c r="P79" s="47" t="n">
        <f aca="false">MIN($D79,$D79*Depreciation!$E$35*$E79)</f>
        <v>6116.60024237045</v>
      </c>
      <c r="Q79" s="48" t="n">
        <f aca="false">IFERROR(($D79-P79)/(3*Inputs!$C$5),0)</f>
        <v>0.114444847015937</v>
      </c>
      <c r="R79" s="60" t="n">
        <f aca="false">Depreciation!$C$36</f>
        <v>260000</v>
      </c>
      <c r="S79" s="47" t="n">
        <f aca="false">MIN($D79,$D79*Depreciation!$E$36*$E79)</f>
        <v>4400.43182904349</v>
      </c>
      <c r="T79" s="48" t="n">
        <f aca="false">IFERROR(($D79-S79)/(4*Inputs!$C$5),0)</f>
        <v>0.0936344007770751</v>
      </c>
    </row>
    <row r="80" customFormat="false" ht="15" hidden="false" customHeight="false" outlineLevel="0" collapsed="false">
      <c r="A80" s="35" t="s">
        <v>407</v>
      </c>
      <c r="B80" s="35" t="s">
        <v>408</v>
      </c>
      <c r="C80" s="49" t="s">
        <v>478</v>
      </c>
      <c r="D80" s="58" t="n">
        <f aca="false">Models!G81</f>
        <v>48000</v>
      </c>
      <c r="E80" s="59" t="n">
        <f aca="false">Models!F81</f>
        <v>1.03092783505155</v>
      </c>
      <c r="F80" s="60" t="n">
        <f aca="false">Depreciation!$C$32</f>
        <v>95000</v>
      </c>
      <c r="G80" s="47" t="n">
        <f aca="false">MIN($D80,$D80*Depreciation!$E$32*$E80)</f>
        <v>26283.5392913225</v>
      </c>
      <c r="H80" s="48" t="n">
        <f aca="false">IFERROR(($D80-G80)/(1*Inputs!$C$5),0)</f>
        <v>0.394844740157774</v>
      </c>
      <c r="I80" s="60" t="n">
        <f aca="false">Depreciation!$C$33</f>
        <v>150000</v>
      </c>
      <c r="J80" s="47" t="n">
        <f aca="false">MIN($D80,$D80*Depreciation!$E$33*$E80)</f>
        <v>15190.8240595344</v>
      </c>
      <c r="K80" s="48" t="n">
        <f aca="false">IFERROR(($D80-J80)/(2*Inputs!$C$5),0)</f>
        <v>0.298265235822415</v>
      </c>
      <c r="L80" s="60" t="n">
        <f aca="false">Depreciation!$C$34</f>
        <v>177500</v>
      </c>
      <c r="M80" s="47" t="n">
        <f aca="false">MIN($D80,$D80*Depreciation!$E$34*$E80)</f>
        <v>12890.8650235543</v>
      </c>
      <c r="N80" s="48" t="n">
        <f aca="false">IFERROR(($D80-M80)/(2.5*Inputs!$C$5),0)</f>
        <v>0.25533916346506</v>
      </c>
      <c r="O80" s="60" t="n">
        <f aca="false">Depreciation!$C$35</f>
        <v>205000</v>
      </c>
      <c r="P80" s="47" t="n">
        <f aca="false">MIN($D80,$D80*Depreciation!$E$35*$E80)</f>
        <v>10676.2476957739</v>
      </c>
      <c r="Q80" s="48" t="n">
        <f aca="false">IFERROR(($D80-P80)/(3*Inputs!$C$5),0)</f>
        <v>0.226204559419552</v>
      </c>
      <c r="R80" s="60" t="n">
        <f aca="false">Depreciation!$C$36</f>
        <v>260000</v>
      </c>
      <c r="S80" s="47" t="n">
        <f aca="false">MIN($D80,$D80*Depreciation!$E$36*$E80)</f>
        <v>7680.75373796682</v>
      </c>
      <c r="T80" s="48" t="n">
        <f aca="false">IFERROR(($D80-S80)/(4*Inputs!$C$5),0)</f>
        <v>0.18326930119106</v>
      </c>
    </row>
    <row r="81" customFormat="false" ht="15" hidden="false" customHeight="false" outlineLevel="0" collapsed="false">
      <c r="A81" s="35" t="s">
        <v>412</v>
      </c>
      <c r="B81" s="35" t="s">
        <v>408</v>
      </c>
      <c r="C81" s="49" t="s">
        <v>478</v>
      </c>
      <c r="D81" s="58" t="n">
        <f aca="false">Models!G82</f>
        <v>52000</v>
      </c>
      <c r="E81" s="59" t="n">
        <f aca="false">Models!F82</f>
        <v>1.03092783505155</v>
      </c>
      <c r="F81" s="60" t="n">
        <f aca="false">Depreciation!$C$32</f>
        <v>95000</v>
      </c>
      <c r="G81" s="47" t="n">
        <f aca="false">MIN($D81,$D81*Depreciation!$E$32*$E81)</f>
        <v>28473.834232266</v>
      </c>
      <c r="H81" s="48" t="n">
        <f aca="false">IFERROR(($D81-G81)/(1*Inputs!$C$5),0)</f>
        <v>0.427748468504255</v>
      </c>
      <c r="I81" s="60" t="n">
        <f aca="false">Depreciation!$C$33</f>
        <v>150000</v>
      </c>
      <c r="J81" s="47" t="n">
        <f aca="false">MIN($D81,$D81*Depreciation!$E$33*$E81)</f>
        <v>16456.7260644956</v>
      </c>
      <c r="K81" s="48" t="n">
        <f aca="false">IFERROR(($D81-J81)/(2*Inputs!$C$5),0)</f>
        <v>0.323120672140949</v>
      </c>
      <c r="L81" s="60" t="n">
        <f aca="false">Depreciation!$C$34</f>
        <v>177500</v>
      </c>
      <c r="M81" s="47" t="n">
        <f aca="false">MIN($D81,$D81*Depreciation!$E$34*$E81)</f>
        <v>13965.1037755172</v>
      </c>
      <c r="N81" s="48" t="n">
        <f aca="false">IFERROR(($D81-M81)/(2.5*Inputs!$C$5),0)</f>
        <v>0.276617427087148</v>
      </c>
      <c r="O81" s="60" t="n">
        <f aca="false">Depreciation!$C$35</f>
        <v>205000</v>
      </c>
      <c r="P81" s="47" t="n">
        <f aca="false">MIN($D81,$D81*Depreciation!$E$35*$E81)</f>
        <v>11565.935003755</v>
      </c>
      <c r="Q81" s="48" t="n">
        <f aca="false">IFERROR(($D81-P81)/(3*Inputs!$C$5),0)</f>
        <v>0.245054939371182</v>
      </c>
      <c r="R81" s="60" t="n">
        <f aca="false">Depreciation!$C$36</f>
        <v>260000</v>
      </c>
      <c r="S81" s="47" t="n">
        <f aca="false">MIN($D81,$D81*Depreciation!$E$36*$E81)</f>
        <v>8320.81654946405</v>
      </c>
      <c r="T81" s="48" t="n">
        <f aca="false">IFERROR(($D81-S81)/(4*Inputs!$C$5),0)</f>
        <v>0.198541742956982</v>
      </c>
    </row>
    <row r="83" customFormat="false" ht="39.75" hidden="false" customHeight="true" outlineLevel="0" collapsed="false">
      <c r="A83" s="57" t="s">
        <v>480</v>
      </c>
      <c r="B83" s="57"/>
      <c r="C83" s="57"/>
      <c r="D83" s="57"/>
      <c r="E83" s="57"/>
      <c r="F83" s="57"/>
      <c r="G83" s="57"/>
      <c r="H83" s="57"/>
      <c r="I83" s="57"/>
      <c r="J83" s="57"/>
      <c r="K83" s="57"/>
      <c r="L83" s="57"/>
    </row>
    <row r="84" customFormat="false" ht="39.75" hidden="false" customHeight="true" outlineLevel="0" collapsed="false">
      <c r="A84" s="57" t="s">
        <v>481</v>
      </c>
      <c r="B84" s="57"/>
      <c r="C84" s="57"/>
      <c r="D84" s="57"/>
      <c r="E84" s="57"/>
      <c r="F84" s="57"/>
      <c r="G84" s="57"/>
      <c r="H84" s="57"/>
      <c r="I84" s="57"/>
      <c r="J84" s="57"/>
      <c r="K84" s="57"/>
      <c r="L84" s="57"/>
    </row>
    <row r="85" customFormat="false" ht="39.75" hidden="false" customHeight="true" outlineLevel="0" collapsed="false">
      <c r="A85" s="57" t="s">
        <v>482</v>
      </c>
      <c r="B85" s="57"/>
      <c r="C85" s="57"/>
      <c r="D85" s="57"/>
      <c r="E85" s="57"/>
      <c r="F85" s="57"/>
      <c r="G85" s="57"/>
      <c r="H85" s="57"/>
      <c r="I85" s="57"/>
      <c r="J85" s="57"/>
      <c r="K85" s="57"/>
      <c r="L85" s="57"/>
    </row>
    <row r="86" customFormat="false" ht="39.75" hidden="false" customHeight="true" outlineLevel="0" collapsed="false">
      <c r="A86" s="57" t="s">
        <v>483</v>
      </c>
      <c r="B86" s="57"/>
      <c r="C86" s="57"/>
      <c r="D86" s="57"/>
      <c r="E86" s="57"/>
      <c r="F86" s="57"/>
      <c r="G86" s="57"/>
      <c r="H86" s="57"/>
      <c r="I86" s="57"/>
      <c r="J86" s="57"/>
      <c r="K86" s="57"/>
      <c r="L86" s="57"/>
    </row>
  </sheetData>
  <autoFilter ref="A5:T81"/>
  <mergeCells count="4">
    <mergeCell ref="A83:L83"/>
    <mergeCell ref="A84:L84"/>
    <mergeCell ref="A85:L85"/>
    <mergeCell ref="A86:L8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6"/>
    <col collapsed="false" customWidth="true" hidden="false" outlineLevel="0" max="3" min="3" style="0" width="16"/>
    <col collapsed="false" customWidth="true" hidden="false" outlineLevel="0" max="4" min="4" style="0" width="70"/>
  </cols>
  <sheetData>
    <row r="1" customFormat="false" ht="17.35" hidden="false" customHeight="false" outlineLevel="0" collapsed="false">
      <c r="B1" s="1" t="s">
        <v>484</v>
      </c>
    </row>
    <row r="2" customFormat="false" ht="15" hidden="false" customHeight="false" outlineLevel="0" collapsed="false">
      <c r="B2" s="2" t="s">
        <v>485</v>
      </c>
    </row>
    <row r="4" customFormat="false" ht="15" hidden="false" customHeight="false" outlineLevel="0" collapsed="false">
      <c r="B4" s="3" t="s">
        <v>486</v>
      </c>
      <c r="C4" s="4"/>
      <c r="D4" s="4"/>
    </row>
    <row r="5" customFormat="false" ht="15" hidden="false" customHeight="false" outlineLevel="0" collapsed="false">
      <c r="B5" s="8" t="s">
        <v>487</v>
      </c>
      <c r="C5" s="40" t="n">
        <v>35000</v>
      </c>
      <c r="D5" s="14" t="s">
        <v>488</v>
      </c>
    </row>
    <row r="6" customFormat="false" ht="22.35" hidden="false" customHeight="false" outlineLevel="0" collapsed="false">
      <c r="B6" s="8" t="s">
        <v>489</v>
      </c>
      <c r="C6" s="23" t="s">
        <v>189</v>
      </c>
      <c r="D6" s="14" t="s">
        <v>490</v>
      </c>
    </row>
    <row r="7" customFormat="false" ht="15" hidden="false" customHeight="false" outlineLevel="0" collapsed="false">
      <c r="B7" s="8" t="s">
        <v>89</v>
      </c>
      <c r="C7" s="61" t="str">
        <f aca="false">Inputs!$C$39</f>
        <v>Self-employed</v>
      </c>
      <c r="D7" s="14" t="s">
        <v>491</v>
      </c>
    </row>
    <row r="8" customFormat="false" ht="15" hidden="false" customHeight="false" outlineLevel="0" collapsed="false">
      <c r="B8" s="8" t="s">
        <v>492</v>
      </c>
      <c r="C8" s="33" t="n">
        <f aca="false">Inputs!$C$5</f>
        <v>55000</v>
      </c>
      <c r="D8" s="14"/>
    </row>
    <row r="9" customFormat="false" ht="15" hidden="false" customHeight="false" outlineLevel="0" collapsed="false">
      <c r="B9" s="8" t="s">
        <v>92</v>
      </c>
      <c r="C9" s="62" t="n">
        <f aca="false">Inputs!$C$40</f>
        <v>0.9</v>
      </c>
      <c r="D9" s="14"/>
    </row>
    <row r="10" customFormat="false" ht="15" hidden="false" customHeight="false" outlineLevel="0" collapsed="false">
      <c r="B10" s="8" t="s">
        <v>493</v>
      </c>
      <c r="C10" s="15" t="n">
        <f aca="false">C8*C9</f>
        <v>49500</v>
      </c>
      <c r="D10" s="14"/>
    </row>
    <row r="11" customFormat="false" ht="15" hidden="false" customHeight="false" outlineLevel="0" collapsed="false">
      <c r="B11" s="8" t="s">
        <v>46</v>
      </c>
      <c r="C11" s="63" t="n">
        <f aca="false">Inputs!$C$9</f>
        <v>2.54545454545455</v>
      </c>
      <c r="D11" s="14"/>
    </row>
    <row r="12" customFormat="false" ht="15" hidden="false" customHeight="false" outlineLevel="0" collapsed="false">
      <c r="B12" s="8" t="s">
        <v>100</v>
      </c>
      <c r="C12" s="62" t="n">
        <f aca="false">Inputs!$C$45</f>
        <v>0.4118</v>
      </c>
      <c r="D12" s="14" t="s">
        <v>494</v>
      </c>
    </row>
    <row r="13" customFormat="false" ht="15" hidden="false" customHeight="false" outlineLevel="0" collapsed="false">
      <c r="B13" s="8" t="s">
        <v>495</v>
      </c>
      <c r="C13" s="31" t="n">
        <f aca="false">C5*Depreciation!$C$23</f>
        <v>8969.71578366446</v>
      </c>
      <c r="D13" s="14" t="s">
        <v>496</v>
      </c>
    </row>
    <row r="14" customFormat="false" ht="22.35" hidden="false" customHeight="false" outlineLevel="0" collapsed="false">
      <c r="B14" s="8" t="s">
        <v>497</v>
      </c>
      <c r="C14" s="31" t="n">
        <f aca="false">(Inputs!$C$19+Inputs!$C$20)+C8*(Inputs!$C$13/24+Inputs!$C$15/Inputs!$C$17+Inputs!$C$18+Inputs!$C$29)</f>
        <v>18549.7023809524</v>
      </c>
      <c r="D14" s="14" t="s">
        <v>498</v>
      </c>
    </row>
    <row r="16" customFormat="false" ht="15" hidden="false" customHeight="false" outlineLevel="0" collapsed="false">
      <c r="B16" s="3" t="s">
        <v>499</v>
      </c>
      <c r="C16" s="4"/>
      <c r="D16" s="4"/>
    </row>
    <row r="17" customFormat="false" ht="22.35" hidden="false" customHeight="false" outlineLevel="0" collapsed="false">
      <c r="B17" s="8" t="s">
        <v>500</v>
      </c>
      <c r="C17" s="31" t="n">
        <v>0</v>
      </c>
      <c r="D17" s="14" t="s">
        <v>501</v>
      </c>
    </row>
    <row r="18" customFormat="false" ht="15" hidden="false" customHeight="false" outlineLevel="0" collapsed="false">
      <c r="B18" s="8" t="s">
        <v>502</v>
      </c>
      <c r="C18" s="31" t="n">
        <v>0</v>
      </c>
      <c r="D18" s="14" t="s">
        <v>503</v>
      </c>
    </row>
    <row r="19" customFormat="false" ht="22.35" hidden="false" customHeight="false" outlineLevel="0" collapsed="false">
      <c r="B19" s="8" t="s">
        <v>504</v>
      </c>
      <c r="C19" s="64" t="str">
        <f aca="false">IF(Inputs!$C$39="W-2","THIS IS YOUR SITUATION - confirm with a CPA","Not applicable")</f>
        <v>Not applicable</v>
      </c>
      <c r="D19" s="14" t="s">
        <v>505</v>
      </c>
    </row>
    <row r="21" customFormat="false" ht="15" hidden="false" customHeight="false" outlineLevel="0" collapsed="false">
      <c r="B21" s="3" t="s">
        <v>506</v>
      </c>
      <c r="C21" s="4"/>
      <c r="D21" s="4"/>
    </row>
    <row r="22" customFormat="false" ht="15" hidden="false" customHeight="false" outlineLevel="0" collapsed="false">
      <c r="B22" s="8" t="s">
        <v>507</v>
      </c>
      <c r="C22" s="65" t="n">
        <f aca="false">Inputs!$C$41</f>
        <v>0.74</v>
      </c>
      <c r="D22" s="14" t="s">
        <v>508</v>
      </c>
    </row>
    <row r="23" customFormat="false" ht="15" hidden="false" customHeight="false" outlineLevel="0" collapsed="false">
      <c r="B23" s="8" t="s">
        <v>500</v>
      </c>
      <c r="C23" s="31" t="n">
        <f aca="false">IF(Inputs!$C$39="Self-employed",C10*C22,0)</f>
        <v>36630</v>
      </c>
      <c r="D23" s="14"/>
    </row>
    <row r="24" customFormat="false" ht="15" hidden="false" customHeight="false" outlineLevel="0" collapsed="false">
      <c r="B24" s="8" t="s">
        <v>502</v>
      </c>
      <c r="C24" s="31" t="n">
        <f aca="false">C23*C12</f>
        <v>15084.234</v>
      </c>
      <c r="D24" s="14"/>
    </row>
    <row r="25" customFormat="false" ht="15" hidden="false" customHeight="false" outlineLevel="0" collapsed="false">
      <c r="B25" s="8" t="s">
        <v>509</v>
      </c>
      <c r="C25" s="22" t="n">
        <f aca="false">IFERROR(C24/C8,0)</f>
        <v>0.2742588</v>
      </c>
      <c r="D25" s="14"/>
    </row>
    <row r="26" customFormat="false" ht="15" hidden="false" customHeight="false" outlineLevel="0" collapsed="false">
      <c r="B26" s="8" t="s">
        <v>510</v>
      </c>
      <c r="C26" s="42" t="s">
        <v>511</v>
      </c>
      <c r="D26" s="14" t="s">
        <v>512</v>
      </c>
    </row>
    <row r="28" customFormat="false" ht="15" hidden="false" customHeight="false" outlineLevel="0" collapsed="false">
      <c r="B28" s="3" t="s">
        <v>513</v>
      </c>
      <c r="C28" s="4"/>
      <c r="D28" s="4"/>
    </row>
    <row r="29" customFormat="false" ht="15" hidden="false" customHeight="false" outlineLevel="0" collapsed="false">
      <c r="B29" s="8" t="s">
        <v>514</v>
      </c>
      <c r="C29" s="31" t="n">
        <f aca="false">C14*C9</f>
        <v>16694.7321428571</v>
      </c>
      <c r="D29" s="14"/>
    </row>
    <row r="30" customFormat="false" ht="15" hidden="false" customHeight="false" outlineLevel="0" collapsed="false">
      <c r="B30" s="8" t="s">
        <v>515</v>
      </c>
      <c r="C30" s="31" t="n">
        <f aca="false">IFERROR((C5-C13)/C11*C9,0)</f>
        <v>9203.56477649007</v>
      </c>
      <c r="D30" s="14" t="s">
        <v>516</v>
      </c>
    </row>
    <row r="31" customFormat="false" ht="15" hidden="false" customHeight="false" outlineLevel="0" collapsed="false">
      <c r="B31" s="8" t="s">
        <v>500</v>
      </c>
      <c r="C31" s="31" t="n">
        <f aca="false">IF(Inputs!$C$39="Self-employed",C29+C30,0)</f>
        <v>25898.2969193472</v>
      </c>
      <c r="D31" s="14"/>
    </row>
    <row r="32" customFormat="false" ht="15" hidden="false" customHeight="false" outlineLevel="0" collapsed="false">
      <c r="B32" s="8" t="s">
        <v>502</v>
      </c>
      <c r="C32" s="31" t="n">
        <f aca="false">C31*C12</f>
        <v>10664.9186713872</v>
      </c>
      <c r="D32" s="14"/>
    </row>
    <row r="33" customFormat="false" ht="22.35" hidden="false" customHeight="false" outlineLevel="0" collapsed="false">
      <c r="B33" s="8" t="s">
        <v>517</v>
      </c>
      <c r="C33" s="66" t="n">
        <f aca="false">C32-C24</f>
        <v>-4419.31532861282</v>
      </c>
      <c r="D33" s="14" t="s">
        <v>518</v>
      </c>
    </row>
    <row r="34" customFormat="false" ht="15" hidden="false" customHeight="false" outlineLevel="0" collapsed="false">
      <c r="B34" s="8" t="s">
        <v>510</v>
      </c>
      <c r="C34" s="42" t="s">
        <v>519</v>
      </c>
      <c r="D34" s="14" t="s">
        <v>520</v>
      </c>
    </row>
    <row r="36" customFormat="false" ht="15" hidden="false" customHeight="false" outlineLevel="0" collapsed="false">
      <c r="B36" s="3" t="s">
        <v>521</v>
      </c>
      <c r="C36" s="4"/>
      <c r="D36" s="4"/>
    </row>
    <row r="37" customFormat="false" ht="15" hidden="false" customHeight="false" outlineLevel="0" collapsed="false">
      <c r="B37" s="8" t="s">
        <v>105</v>
      </c>
      <c r="C37" s="62" t="n">
        <f aca="false">Inputs!$C$49</f>
        <v>1</v>
      </c>
      <c r="D37" s="14" t="s">
        <v>522</v>
      </c>
    </row>
    <row r="38" customFormat="false" ht="22.35" hidden="false" customHeight="false" outlineLevel="0" collapsed="false">
      <c r="B38" s="8" t="s">
        <v>523</v>
      </c>
      <c r="C38" s="31" t="n">
        <f aca="false">IF(C6="Yes",C5*C9,MIN(C5*C9,Inputs!$C$51))</f>
        <v>31500</v>
      </c>
      <c r="D38" s="14" t="s">
        <v>524</v>
      </c>
    </row>
    <row r="39" customFormat="false" ht="15" hidden="false" customHeight="false" outlineLevel="0" collapsed="false">
      <c r="B39" s="8" t="s">
        <v>525</v>
      </c>
      <c r="C39" s="31" t="n">
        <f aca="false">IF(Inputs!$C$39="Self-employed",C38*C37,0)</f>
        <v>31500</v>
      </c>
      <c r="D39" s="14"/>
    </row>
    <row r="40" customFormat="false" ht="15" hidden="false" customHeight="false" outlineLevel="0" collapsed="false">
      <c r="B40" s="8" t="s">
        <v>526</v>
      </c>
      <c r="C40" s="66" t="n">
        <f aca="false">C39*C12</f>
        <v>12971.7</v>
      </c>
      <c r="D40" s="14" t="s">
        <v>527</v>
      </c>
    </row>
    <row r="41" customFormat="false" ht="15" hidden="false" customHeight="false" outlineLevel="0" collapsed="false">
      <c r="B41" s="8" t="s">
        <v>528</v>
      </c>
      <c r="C41" s="31" t="n">
        <f aca="false">C14*C9*C11</f>
        <v>42495.6818181818</v>
      </c>
      <c r="D41" s="14"/>
    </row>
    <row r="42" customFormat="false" ht="15" hidden="false" customHeight="false" outlineLevel="0" collapsed="false">
      <c r="B42" s="8" t="s">
        <v>529</v>
      </c>
      <c r="C42" s="31" t="n">
        <f aca="false">C41*C12</f>
        <v>17499.7217727273</v>
      </c>
      <c r="D42" s="14"/>
    </row>
    <row r="43" customFormat="false" ht="15" hidden="false" customHeight="false" outlineLevel="0" collapsed="false">
      <c r="B43" s="8" t="s">
        <v>530</v>
      </c>
      <c r="C43" s="31" t="n">
        <f aca="false">C40+C42</f>
        <v>30471.4217727273</v>
      </c>
      <c r="D43" s="14"/>
    </row>
    <row r="45" customFormat="false" ht="15" hidden="false" customHeight="false" outlineLevel="0" collapsed="false">
      <c r="B45" s="11" t="s">
        <v>531</v>
      </c>
      <c r="C45" s="12"/>
      <c r="D45" s="12"/>
    </row>
    <row r="46" customFormat="false" ht="15" hidden="false" customHeight="false" outlineLevel="0" collapsed="false">
      <c r="B46" s="8" t="s">
        <v>532</v>
      </c>
      <c r="C46" s="31" t="n">
        <f aca="false">C39</f>
        <v>31500</v>
      </c>
      <c r="D46" s="14"/>
    </row>
    <row r="47" customFormat="false" ht="15" hidden="false" customHeight="false" outlineLevel="0" collapsed="false">
      <c r="B47" s="8" t="s">
        <v>533</v>
      </c>
      <c r="C47" s="31" t="n">
        <f aca="false">MAX(0,C5*C9-C46)</f>
        <v>0</v>
      </c>
      <c r="D47" s="14" t="s">
        <v>534</v>
      </c>
    </row>
    <row r="48" customFormat="false" ht="15" hidden="false" customHeight="false" outlineLevel="0" collapsed="false">
      <c r="B48" s="8" t="s">
        <v>535</v>
      </c>
      <c r="C48" s="31" t="n">
        <f aca="false">C13*C9</f>
        <v>8072.74420529801</v>
      </c>
      <c r="D48" s="14"/>
    </row>
    <row r="49" customFormat="false" ht="15" hidden="false" customHeight="false" outlineLevel="0" collapsed="false">
      <c r="B49" s="8" t="s">
        <v>536</v>
      </c>
      <c r="C49" s="31" t="n">
        <f aca="false">MAX(0,C48-C47)</f>
        <v>8072.74420529801</v>
      </c>
      <c r="D49" s="14"/>
    </row>
    <row r="50" customFormat="false" ht="22.35" hidden="false" customHeight="false" outlineLevel="0" collapsed="false">
      <c r="B50" s="8" t="s">
        <v>537</v>
      </c>
      <c r="C50" s="31" t="n">
        <f aca="false">MIN(C46,C49)</f>
        <v>8072.74420529801</v>
      </c>
      <c r="D50" s="14" t="s">
        <v>538</v>
      </c>
    </row>
    <row r="51" customFormat="false" ht="15" hidden="false" customHeight="false" outlineLevel="0" collapsed="false">
      <c r="B51" s="8" t="s">
        <v>539</v>
      </c>
      <c r="C51" s="66" t="n">
        <f aca="false">C50*C12</f>
        <v>3324.35606374172</v>
      </c>
      <c r="D51" s="14"/>
    </row>
    <row r="52" customFormat="false" ht="15" hidden="false" customHeight="false" outlineLevel="0" collapsed="false">
      <c r="B52" s="8" t="s">
        <v>540</v>
      </c>
      <c r="C52" s="66" t="n">
        <f aca="false">C43-C51</f>
        <v>27147.0657089856</v>
      </c>
      <c r="D52" s="14" t="s">
        <v>541</v>
      </c>
    </row>
    <row r="53" customFormat="false" ht="15" hidden="false" customHeight="false" outlineLevel="0" collapsed="false">
      <c r="B53" s="8" t="s">
        <v>542</v>
      </c>
      <c r="C53" s="31" t="n">
        <f aca="false">C24*C11</f>
        <v>38396.232</v>
      </c>
      <c r="D53" s="14" t="s">
        <v>543</v>
      </c>
    </row>
    <row r="54" customFormat="false" ht="22.35" hidden="false" customHeight="false" outlineLevel="0" collapsed="false">
      <c r="B54" s="8" t="s">
        <v>544</v>
      </c>
      <c r="C54" s="67" t="n">
        <f aca="false">C52-C53</f>
        <v>-11249.1662910144</v>
      </c>
      <c r="D54" s="14" t="s">
        <v>545</v>
      </c>
    </row>
    <row r="56" customFormat="false" ht="15" hidden="false" customHeight="false" outlineLevel="0" collapsed="false">
      <c r="B56" s="3" t="s">
        <v>546</v>
      </c>
      <c r="C56" s="4"/>
      <c r="D56" s="4"/>
    </row>
    <row r="57" customFormat="false" ht="45.75" hidden="false" customHeight="true" outlineLevel="0" collapsed="false">
      <c r="B57" s="5" t="s">
        <v>547</v>
      </c>
      <c r="D57" s="68" t="s">
        <v>548</v>
      </c>
    </row>
    <row r="58" customFormat="false" ht="45.75" hidden="false" customHeight="true" outlineLevel="0" collapsed="false">
      <c r="B58" s="5" t="s">
        <v>549</v>
      </c>
      <c r="D58" s="68" t="s">
        <v>550</v>
      </c>
    </row>
    <row r="59" customFormat="false" ht="45.75" hidden="false" customHeight="true" outlineLevel="0" collapsed="false">
      <c r="B59" s="5" t="s">
        <v>551</v>
      </c>
      <c r="D59" s="68" t="s">
        <v>552</v>
      </c>
    </row>
    <row r="61" customFormat="false" ht="15" hidden="false" customHeight="false" outlineLevel="0" collapsed="false">
      <c r="B61" s="69" t="s">
        <v>553</v>
      </c>
      <c r="C61" s="69"/>
      <c r="D61" s="69"/>
    </row>
  </sheetData>
  <mergeCells count="1">
    <mergeCell ref="B61:D61"/>
  </mergeCells>
  <dataValidations count="1">
    <dataValidation allowBlank="false" errorStyle="stop" operator="between" showDropDown="false" showErrorMessage="false" showInputMessage="false" sqref="C6"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22"/>
    <col collapsed="false" customWidth="true" hidden="false" outlineLevel="0" max="4" min="4" style="0" width="34"/>
    <col collapsed="false" customWidth="true" hidden="false" outlineLevel="0" max="5" min="5" style="0" width="12"/>
    <col collapsed="false" customWidth="true" hidden="false" outlineLevel="0" max="6" min="6" style="0" width="40"/>
    <col collapsed="false" customWidth="true" hidden="false" outlineLevel="0" max="8" min="8" style="0" width="30"/>
    <col collapsed="false" customWidth="true" hidden="false" outlineLevel="0" max="10" min="9" style="0" width="16"/>
  </cols>
  <sheetData>
    <row r="1" customFormat="false" ht="17.35" hidden="false" customHeight="false" outlineLevel="0" collapsed="false">
      <c r="A1" s="1" t="s">
        <v>554</v>
      </c>
    </row>
    <row r="2" customFormat="false" ht="15" hidden="false" customHeight="false" outlineLevel="0" collapsed="false">
      <c r="A2" s="2" t="s">
        <v>555</v>
      </c>
    </row>
    <row r="4" customFormat="false" ht="15" hidden="false" customHeight="false" outlineLevel="0" collapsed="false">
      <c r="A4" s="70" t="s">
        <v>556</v>
      </c>
      <c r="B4" s="70" t="s">
        <v>116</v>
      </c>
      <c r="C4" s="70" t="s">
        <v>147</v>
      </c>
      <c r="D4" s="70" t="s">
        <v>557</v>
      </c>
      <c r="E4" s="70" t="s">
        <v>558</v>
      </c>
      <c r="F4" s="70" t="s">
        <v>559</v>
      </c>
      <c r="H4" s="71" t="s">
        <v>560</v>
      </c>
      <c r="I4" s="71" t="s">
        <v>561</v>
      </c>
      <c r="J4" s="71" t="s">
        <v>562</v>
      </c>
    </row>
    <row r="5" customFormat="false" ht="15" hidden="false" customHeight="false" outlineLevel="0" collapsed="false">
      <c r="A5" s="72" t="s">
        <v>563</v>
      </c>
      <c r="B5" s="73" t="n">
        <v>41250</v>
      </c>
      <c r="C5" s="72" t="s">
        <v>154</v>
      </c>
      <c r="D5" s="72" t="s">
        <v>564</v>
      </c>
      <c r="E5" s="74" t="n">
        <v>62.4</v>
      </c>
      <c r="F5" s="72" t="s">
        <v>565</v>
      </c>
      <c r="H5" s="35" t="s">
        <v>154</v>
      </c>
      <c r="I5" s="31" t="n">
        <f aca="false">SUMIF($C$5:$C$504,H5,$E$5:$E$504)</f>
        <v>62.4</v>
      </c>
      <c r="J5" s="22" t="n">
        <f aca="false">IFERROR(I5/$I$16,0)</f>
        <v>0</v>
      </c>
    </row>
    <row r="6" customFormat="false" ht="15" hidden="false" customHeight="false" outlineLevel="0" collapsed="false">
      <c r="A6" s="42"/>
      <c r="B6" s="19"/>
      <c r="C6" s="42"/>
      <c r="D6" s="42"/>
      <c r="E6" s="17"/>
      <c r="F6" s="42"/>
      <c r="H6" s="35" t="s">
        <v>566</v>
      </c>
      <c r="I6" s="31" t="n">
        <f aca="false">SUMIF($C$5:$C$504,H6,$E$5:$E$504)</f>
        <v>0</v>
      </c>
      <c r="J6" s="22" t="n">
        <f aca="false">IFERROR(I6/$I$16,0)</f>
        <v>0</v>
      </c>
    </row>
    <row r="7" customFormat="false" ht="15" hidden="false" customHeight="false" outlineLevel="0" collapsed="false">
      <c r="A7" s="42"/>
      <c r="B7" s="19"/>
      <c r="C7" s="42"/>
      <c r="D7" s="42"/>
      <c r="E7" s="17"/>
      <c r="F7" s="42"/>
      <c r="H7" s="35" t="s">
        <v>567</v>
      </c>
      <c r="I7" s="31" t="n">
        <f aca="false">SUMIF($C$5:$C$504,H7,$E$5:$E$504)</f>
        <v>0</v>
      </c>
      <c r="J7" s="22" t="n">
        <f aca="false">IFERROR(I7/$I$16,0)</f>
        <v>0</v>
      </c>
    </row>
    <row r="8" customFormat="false" ht="15" hidden="false" customHeight="false" outlineLevel="0" collapsed="false">
      <c r="A8" s="42"/>
      <c r="B8" s="19"/>
      <c r="C8" s="42"/>
      <c r="D8" s="42"/>
      <c r="E8" s="17"/>
      <c r="F8" s="42"/>
      <c r="H8" s="35" t="s">
        <v>568</v>
      </c>
      <c r="I8" s="31" t="n">
        <f aca="false">SUMIF($C$5:$C$504,H8,$E$5:$E$504)</f>
        <v>0</v>
      </c>
      <c r="J8" s="22" t="n">
        <f aca="false">IFERROR(I8/$I$16,0)</f>
        <v>0</v>
      </c>
    </row>
    <row r="9" customFormat="false" ht="15" hidden="false" customHeight="false" outlineLevel="0" collapsed="false">
      <c r="A9" s="42"/>
      <c r="B9" s="19"/>
      <c r="C9" s="42"/>
      <c r="D9" s="42"/>
      <c r="E9" s="17"/>
      <c r="F9" s="42"/>
      <c r="H9" s="35" t="s">
        <v>569</v>
      </c>
      <c r="I9" s="31" t="n">
        <f aca="false">SUMIF($C$5:$C$504,H9,$E$5:$E$504)</f>
        <v>0</v>
      </c>
      <c r="J9" s="22" t="n">
        <f aca="false">IFERROR(I9/$I$16,0)</f>
        <v>0</v>
      </c>
    </row>
    <row r="10" customFormat="false" ht="15" hidden="false" customHeight="false" outlineLevel="0" collapsed="false">
      <c r="A10" s="42"/>
      <c r="B10" s="19"/>
      <c r="C10" s="42"/>
      <c r="D10" s="42"/>
      <c r="E10" s="17"/>
      <c r="F10" s="42"/>
      <c r="H10" s="35" t="s">
        <v>570</v>
      </c>
      <c r="I10" s="31" t="n">
        <f aca="false">SUMIF($C$5:$C$504,H10,$E$5:$E$504)</f>
        <v>0</v>
      </c>
      <c r="J10" s="22" t="n">
        <f aca="false">IFERROR(I10/$I$16,0)</f>
        <v>0</v>
      </c>
    </row>
    <row r="11" customFormat="false" ht="15" hidden="false" customHeight="false" outlineLevel="0" collapsed="false">
      <c r="A11" s="42"/>
      <c r="B11" s="19"/>
      <c r="C11" s="42"/>
      <c r="D11" s="42"/>
      <c r="E11" s="17"/>
      <c r="F11" s="42"/>
      <c r="H11" s="35" t="s">
        <v>571</v>
      </c>
      <c r="I11" s="31" t="n">
        <f aca="false">SUMIF($C$5:$C$504,H11,$E$5:$E$504)</f>
        <v>0</v>
      </c>
      <c r="J11" s="22" t="n">
        <f aca="false">IFERROR(I11/$I$16,0)</f>
        <v>0</v>
      </c>
    </row>
    <row r="12" customFormat="false" ht="15" hidden="false" customHeight="false" outlineLevel="0" collapsed="false">
      <c r="A12" s="42"/>
      <c r="B12" s="19"/>
      <c r="C12" s="42"/>
      <c r="D12" s="42"/>
      <c r="E12" s="17"/>
      <c r="F12" s="42"/>
      <c r="H12" s="35" t="s">
        <v>572</v>
      </c>
      <c r="I12" s="31" t="n">
        <f aca="false">SUMIF($C$5:$C$504,H12,$E$5:$E$504)</f>
        <v>0</v>
      </c>
      <c r="J12" s="22" t="n">
        <f aca="false">IFERROR(I12/$I$16,0)</f>
        <v>0</v>
      </c>
    </row>
    <row r="13" customFormat="false" ht="15" hidden="false" customHeight="false" outlineLevel="0" collapsed="false">
      <c r="A13" s="42"/>
      <c r="B13" s="19"/>
      <c r="C13" s="42"/>
      <c r="D13" s="42"/>
      <c r="E13" s="17"/>
      <c r="F13" s="42"/>
      <c r="H13" s="35" t="s">
        <v>573</v>
      </c>
      <c r="I13" s="31" t="n">
        <f aca="false">SUMIF($C$5:$C$504,H13,$E$5:$E$504)</f>
        <v>0</v>
      </c>
      <c r="J13" s="22" t="n">
        <f aca="false">IFERROR(I13/$I$16,0)</f>
        <v>0</v>
      </c>
    </row>
    <row r="14" customFormat="false" ht="15" hidden="false" customHeight="false" outlineLevel="0" collapsed="false">
      <c r="A14" s="42"/>
      <c r="B14" s="19"/>
      <c r="C14" s="42"/>
      <c r="D14" s="42"/>
      <c r="E14" s="17"/>
      <c r="F14" s="42"/>
      <c r="H14" s="5" t="s">
        <v>574</v>
      </c>
      <c r="I14" s="66" t="n">
        <f aca="false">SUM(I5:I13)</f>
        <v>62.4</v>
      </c>
    </row>
    <row r="15" customFormat="false" ht="15" hidden="false" customHeight="false" outlineLevel="0" collapsed="false">
      <c r="A15" s="42"/>
      <c r="B15" s="19"/>
      <c r="C15" s="42"/>
      <c r="D15" s="42"/>
      <c r="E15" s="17"/>
      <c r="F15" s="42"/>
    </row>
    <row r="16" customFormat="false" ht="15" hidden="false" customHeight="false" outlineLevel="0" collapsed="false">
      <c r="A16" s="42"/>
      <c r="B16" s="19"/>
      <c r="C16" s="42"/>
      <c r="D16" s="42"/>
      <c r="E16" s="17"/>
      <c r="F16" s="42"/>
      <c r="H16" s="5" t="s">
        <v>575</v>
      </c>
      <c r="I16" s="75" t="n">
        <f aca="false">IFERROR(MAX($B$5:$B$504)-MIN($B$5:$B$504),0)</f>
        <v>0</v>
      </c>
    </row>
    <row r="17" customFormat="false" ht="15" hidden="false" customHeight="false" outlineLevel="0" collapsed="false">
      <c r="A17" s="42"/>
      <c r="B17" s="19"/>
      <c r="C17" s="42"/>
      <c r="D17" s="42"/>
      <c r="E17" s="17"/>
      <c r="F17" s="42"/>
      <c r="H17" s="5" t="s">
        <v>576</v>
      </c>
      <c r="I17" s="76" t="n">
        <f aca="false">IFERROR(I14/I16,0)</f>
        <v>0</v>
      </c>
    </row>
    <row r="18" customFormat="false" ht="15" hidden="false" customHeight="false" outlineLevel="0" collapsed="false">
      <c r="A18" s="42"/>
      <c r="B18" s="19"/>
      <c r="C18" s="42"/>
      <c r="D18" s="42"/>
      <c r="E18" s="17"/>
      <c r="F18" s="42"/>
      <c r="H18" s="8" t="s">
        <v>577</v>
      </c>
      <c r="I18" s="77" t="n">
        <f aca="false">Strategies!V6</f>
        <v>0.501749416767008</v>
      </c>
    </row>
    <row r="19" customFormat="false" ht="15" hidden="false" customHeight="false" outlineLevel="0" collapsed="false">
      <c r="A19" s="42"/>
      <c r="B19" s="19"/>
      <c r="C19" s="42"/>
      <c r="D19" s="42"/>
      <c r="E19" s="17"/>
      <c r="F19" s="42"/>
      <c r="H19" s="5" t="s">
        <v>578</v>
      </c>
      <c r="I19" s="44" t="n">
        <f aca="false">I17-I18</f>
        <v>-0.501749416767008</v>
      </c>
    </row>
    <row r="20" customFormat="false" ht="15" hidden="false" customHeight="false" outlineLevel="0" collapsed="false">
      <c r="A20" s="42"/>
      <c r="B20" s="19"/>
      <c r="C20" s="42"/>
      <c r="D20" s="42"/>
      <c r="E20" s="17"/>
      <c r="F20" s="42"/>
    </row>
    <row r="21" customFormat="false" ht="15" hidden="false" customHeight="true" outlineLevel="0" collapsed="false">
      <c r="A21" s="42"/>
      <c r="B21" s="19"/>
      <c r="C21" s="42"/>
      <c r="D21" s="42"/>
      <c r="E21" s="17"/>
      <c r="F21" s="42"/>
      <c r="H21" s="57" t="s">
        <v>579</v>
      </c>
      <c r="I21" s="57"/>
      <c r="J21" s="57"/>
    </row>
    <row r="22" customFormat="false" ht="15" hidden="false" customHeight="false" outlineLevel="0" collapsed="false">
      <c r="A22" s="42"/>
      <c r="B22" s="19"/>
      <c r="C22" s="42"/>
      <c r="D22" s="42"/>
      <c r="E22" s="17"/>
      <c r="F22" s="42"/>
      <c r="H22" s="57"/>
      <c r="I22" s="57"/>
      <c r="J22" s="57"/>
    </row>
    <row r="23" customFormat="false" ht="15" hidden="false" customHeight="false" outlineLevel="0" collapsed="false">
      <c r="A23" s="42"/>
      <c r="B23" s="19"/>
      <c r="C23" s="42"/>
      <c r="D23" s="42"/>
      <c r="E23" s="17"/>
      <c r="F23" s="42"/>
    </row>
    <row r="24" customFormat="false" ht="15" hidden="false" customHeight="false" outlineLevel="0" collapsed="false">
      <c r="A24" s="42"/>
      <c r="B24" s="19"/>
      <c r="C24" s="42"/>
      <c r="D24" s="42"/>
      <c r="E24" s="17"/>
      <c r="F24" s="42"/>
    </row>
    <row r="25" customFormat="false" ht="15" hidden="false" customHeight="false" outlineLevel="0" collapsed="false">
      <c r="A25" s="42"/>
      <c r="B25" s="19"/>
      <c r="C25" s="42"/>
      <c r="D25" s="42"/>
      <c r="E25" s="17"/>
      <c r="F25" s="42"/>
    </row>
    <row r="26" customFormat="false" ht="15" hidden="false" customHeight="false" outlineLevel="0" collapsed="false">
      <c r="A26" s="42"/>
      <c r="B26" s="19"/>
      <c r="C26" s="42"/>
      <c r="D26" s="42"/>
      <c r="E26" s="17"/>
      <c r="F26" s="42"/>
    </row>
    <row r="27" customFormat="false" ht="15" hidden="false" customHeight="false" outlineLevel="0" collapsed="false">
      <c r="A27" s="42"/>
      <c r="B27" s="19"/>
      <c r="C27" s="42"/>
      <c r="D27" s="42"/>
      <c r="E27" s="17"/>
      <c r="F27" s="42"/>
    </row>
    <row r="28" customFormat="false" ht="15" hidden="false" customHeight="false" outlineLevel="0" collapsed="false">
      <c r="A28" s="42"/>
      <c r="B28" s="19"/>
      <c r="C28" s="42"/>
      <c r="D28" s="42"/>
      <c r="E28" s="17"/>
      <c r="F28" s="42"/>
    </row>
    <row r="29" customFormat="false" ht="15" hidden="false" customHeight="false" outlineLevel="0" collapsed="false">
      <c r="A29" s="42"/>
      <c r="B29" s="19"/>
      <c r="C29" s="42"/>
      <c r="D29" s="42"/>
      <c r="E29" s="17"/>
      <c r="F29" s="42"/>
    </row>
    <row r="30" customFormat="false" ht="15" hidden="false" customHeight="false" outlineLevel="0" collapsed="false">
      <c r="A30" s="42"/>
      <c r="B30" s="19"/>
      <c r="C30" s="42"/>
      <c r="D30" s="42"/>
      <c r="E30" s="17"/>
      <c r="F30" s="42"/>
    </row>
    <row r="31" customFormat="false" ht="15" hidden="false" customHeight="false" outlineLevel="0" collapsed="false">
      <c r="A31" s="42"/>
      <c r="B31" s="19"/>
      <c r="C31" s="42"/>
      <c r="D31" s="42"/>
      <c r="E31" s="17"/>
      <c r="F31" s="42"/>
    </row>
    <row r="32" customFormat="false" ht="15" hidden="false" customHeight="false" outlineLevel="0" collapsed="false">
      <c r="A32" s="42"/>
      <c r="B32" s="19"/>
      <c r="C32" s="42"/>
      <c r="D32" s="42"/>
      <c r="E32" s="17"/>
      <c r="F32" s="42"/>
    </row>
    <row r="33" customFormat="false" ht="15" hidden="false" customHeight="false" outlineLevel="0" collapsed="false">
      <c r="A33" s="42"/>
      <c r="B33" s="19"/>
      <c r="C33" s="42"/>
      <c r="D33" s="42"/>
      <c r="E33" s="17"/>
      <c r="F33" s="42"/>
    </row>
    <row r="34" customFormat="false" ht="15" hidden="false" customHeight="false" outlineLevel="0" collapsed="false">
      <c r="A34" s="42"/>
      <c r="B34" s="19"/>
      <c r="C34" s="42"/>
      <c r="D34" s="42"/>
      <c r="E34" s="17"/>
      <c r="F34" s="42"/>
    </row>
    <row r="35" customFormat="false" ht="15" hidden="false" customHeight="false" outlineLevel="0" collapsed="false">
      <c r="A35" s="42"/>
      <c r="B35" s="19"/>
      <c r="C35" s="42"/>
      <c r="D35" s="42"/>
      <c r="E35" s="17"/>
      <c r="F35" s="42"/>
    </row>
    <row r="36" customFormat="false" ht="15" hidden="false" customHeight="false" outlineLevel="0" collapsed="false">
      <c r="A36" s="42"/>
      <c r="B36" s="19"/>
      <c r="C36" s="42"/>
      <c r="D36" s="42"/>
      <c r="E36" s="17"/>
      <c r="F36" s="42"/>
    </row>
    <row r="37" customFormat="false" ht="15" hidden="false" customHeight="false" outlineLevel="0" collapsed="false">
      <c r="A37" s="42"/>
      <c r="B37" s="19"/>
      <c r="C37" s="42"/>
      <c r="D37" s="42"/>
      <c r="E37" s="17"/>
      <c r="F37" s="42"/>
    </row>
    <row r="38" customFormat="false" ht="15" hidden="false" customHeight="false" outlineLevel="0" collapsed="false">
      <c r="A38" s="42"/>
      <c r="B38" s="19"/>
      <c r="C38" s="42"/>
      <c r="D38" s="42"/>
      <c r="E38" s="17"/>
      <c r="F38" s="42"/>
    </row>
    <row r="39" customFormat="false" ht="15" hidden="false" customHeight="false" outlineLevel="0" collapsed="false">
      <c r="A39" s="42"/>
      <c r="B39" s="19"/>
      <c r="C39" s="42"/>
      <c r="D39" s="42"/>
      <c r="E39" s="17"/>
      <c r="F39" s="42"/>
    </row>
    <row r="40" customFormat="false" ht="15" hidden="false" customHeight="false" outlineLevel="0" collapsed="false">
      <c r="A40" s="42"/>
      <c r="B40" s="19"/>
      <c r="C40" s="42"/>
      <c r="D40" s="42"/>
      <c r="E40" s="17"/>
      <c r="F40" s="42"/>
    </row>
    <row r="41" customFormat="false" ht="15" hidden="false" customHeight="false" outlineLevel="0" collapsed="false">
      <c r="A41" s="42"/>
      <c r="B41" s="19"/>
      <c r="C41" s="42"/>
      <c r="D41" s="42"/>
      <c r="E41" s="17"/>
      <c r="F41" s="42"/>
    </row>
    <row r="42" customFormat="false" ht="15" hidden="false" customHeight="false" outlineLevel="0" collapsed="false">
      <c r="A42" s="42"/>
      <c r="B42" s="19"/>
      <c r="C42" s="42"/>
      <c r="D42" s="42"/>
      <c r="E42" s="17"/>
      <c r="F42" s="42"/>
    </row>
    <row r="43" customFormat="false" ht="15" hidden="false" customHeight="false" outlineLevel="0" collapsed="false">
      <c r="A43" s="42"/>
      <c r="B43" s="19"/>
      <c r="C43" s="42"/>
      <c r="D43" s="42"/>
      <c r="E43" s="17"/>
      <c r="F43" s="42"/>
    </row>
    <row r="44" customFormat="false" ht="15" hidden="false" customHeight="false" outlineLevel="0" collapsed="false">
      <c r="A44" s="42"/>
      <c r="B44" s="19"/>
      <c r="C44" s="42"/>
      <c r="D44" s="42"/>
      <c r="E44" s="17"/>
      <c r="F44" s="42"/>
    </row>
    <row r="45" customFormat="false" ht="15" hidden="false" customHeight="false" outlineLevel="0" collapsed="false">
      <c r="A45" s="42"/>
      <c r="B45" s="19"/>
      <c r="C45" s="42"/>
      <c r="D45" s="42"/>
      <c r="E45" s="17"/>
      <c r="F45" s="42"/>
    </row>
    <row r="46" customFormat="false" ht="15" hidden="false" customHeight="false" outlineLevel="0" collapsed="false">
      <c r="A46" s="42"/>
      <c r="B46" s="19"/>
      <c r="C46" s="42"/>
      <c r="D46" s="42"/>
      <c r="E46" s="17"/>
      <c r="F46" s="42"/>
    </row>
    <row r="47" customFormat="false" ht="15" hidden="false" customHeight="false" outlineLevel="0" collapsed="false">
      <c r="A47" s="42"/>
      <c r="B47" s="19"/>
      <c r="C47" s="42"/>
      <c r="D47" s="42"/>
      <c r="E47" s="17"/>
      <c r="F47" s="42"/>
    </row>
    <row r="48" customFormat="false" ht="15" hidden="false" customHeight="false" outlineLevel="0" collapsed="false">
      <c r="A48" s="42"/>
      <c r="B48" s="19"/>
      <c r="C48" s="42"/>
      <c r="D48" s="42"/>
      <c r="E48" s="17"/>
      <c r="F48" s="42"/>
    </row>
    <row r="49" customFormat="false" ht="15" hidden="false" customHeight="false" outlineLevel="0" collapsed="false">
      <c r="A49" s="42"/>
      <c r="B49" s="19"/>
      <c r="C49" s="42"/>
      <c r="D49" s="42"/>
      <c r="E49" s="17"/>
      <c r="F49" s="42"/>
    </row>
    <row r="50" customFormat="false" ht="15" hidden="false" customHeight="false" outlineLevel="0" collapsed="false">
      <c r="A50" s="42"/>
      <c r="B50" s="19"/>
      <c r="C50" s="42"/>
      <c r="D50" s="42"/>
      <c r="E50" s="17"/>
      <c r="F50" s="42"/>
    </row>
    <row r="51" customFormat="false" ht="15" hidden="false" customHeight="false" outlineLevel="0" collapsed="false">
      <c r="A51" s="42"/>
      <c r="B51" s="19"/>
      <c r="C51" s="42"/>
      <c r="D51" s="42"/>
      <c r="E51" s="17"/>
      <c r="F51" s="42"/>
    </row>
    <row r="52" customFormat="false" ht="15" hidden="false" customHeight="false" outlineLevel="0" collapsed="false">
      <c r="A52" s="42"/>
      <c r="B52" s="19"/>
      <c r="C52" s="42"/>
      <c r="D52" s="42"/>
      <c r="E52" s="17"/>
      <c r="F52" s="42"/>
    </row>
    <row r="53" customFormat="false" ht="15" hidden="false" customHeight="false" outlineLevel="0" collapsed="false">
      <c r="A53" s="42"/>
      <c r="B53" s="19"/>
      <c r="C53" s="42"/>
      <c r="D53" s="42"/>
      <c r="E53" s="17"/>
      <c r="F53" s="42"/>
    </row>
    <row r="54" customFormat="false" ht="15" hidden="false" customHeight="false" outlineLevel="0" collapsed="false">
      <c r="A54" s="42"/>
      <c r="B54" s="19"/>
      <c r="C54" s="42"/>
      <c r="D54" s="42"/>
      <c r="E54" s="17"/>
      <c r="F54" s="42"/>
    </row>
    <row r="55" customFormat="false" ht="15" hidden="false" customHeight="false" outlineLevel="0" collapsed="false">
      <c r="A55" s="42"/>
      <c r="B55" s="19"/>
      <c r="C55" s="42"/>
      <c r="D55" s="42"/>
      <c r="E55" s="17"/>
      <c r="F55" s="42"/>
    </row>
    <row r="56" customFormat="false" ht="15" hidden="false" customHeight="false" outlineLevel="0" collapsed="false">
      <c r="A56" s="42"/>
      <c r="B56" s="19"/>
      <c r="C56" s="42"/>
      <c r="D56" s="42"/>
      <c r="E56" s="17"/>
      <c r="F56" s="42"/>
    </row>
    <row r="57" customFormat="false" ht="15" hidden="false" customHeight="false" outlineLevel="0" collapsed="false">
      <c r="A57" s="42"/>
      <c r="B57" s="19"/>
      <c r="C57" s="42"/>
      <c r="D57" s="42"/>
      <c r="E57" s="17"/>
      <c r="F57" s="42"/>
    </row>
    <row r="58" customFormat="false" ht="15" hidden="false" customHeight="false" outlineLevel="0" collapsed="false">
      <c r="A58" s="42"/>
      <c r="B58" s="19"/>
      <c r="C58" s="42"/>
      <c r="D58" s="42"/>
      <c r="E58" s="17"/>
      <c r="F58" s="42"/>
    </row>
    <row r="59" customFormat="false" ht="15" hidden="false" customHeight="false" outlineLevel="0" collapsed="false">
      <c r="A59" s="42"/>
      <c r="B59" s="19"/>
      <c r="C59" s="42"/>
      <c r="D59" s="42"/>
      <c r="E59" s="17"/>
      <c r="F59" s="42"/>
    </row>
    <row r="60" customFormat="false" ht="15" hidden="false" customHeight="false" outlineLevel="0" collapsed="false">
      <c r="A60" s="42"/>
      <c r="B60" s="19"/>
      <c r="C60" s="42"/>
      <c r="D60" s="42"/>
      <c r="E60" s="17"/>
      <c r="F60" s="42"/>
    </row>
    <row r="61" customFormat="false" ht="15" hidden="false" customHeight="false" outlineLevel="0" collapsed="false">
      <c r="A61" s="42"/>
      <c r="B61" s="19"/>
      <c r="C61" s="42"/>
      <c r="D61" s="42"/>
      <c r="E61" s="17"/>
      <c r="F61" s="42"/>
    </row>
    <row r="62" customFormat="false" ht="15" hidden="false" customHeight="false" outlineLevel="0" collapsed="false">
      <c r="A62" s="42"/>
      <c r="B62" s="19"/>
      <c r="C62" s="42"/>
      <c r="D62" s="42"/>
      <c r="E62" s="17"/>
      <c r="F62" s="42"/>
    </row>
    <row r="63" customFormat="false" ht="15" hidden="false" customHeight="false" outlineLevel="0" collapsed="false">
      <c r="A63" s="42"/>
      <c r="B63" s="19"/>
      <c r="C63" s="42"/>
      <c r="D63" s="42"/>
      <c r="E63" s="17"/>
      <c r="F63" s="42"/>
    </row>
    <row r="64" customFormat="false" ht="15" hidden="false" customHeight="false" outlineLevel="0" collapsed="false">
      <c r="A64" s="42"/>
      <c r="B64" s="19"/>
      <c r="C64" s="42"/>
      <c r="D64" s="42"/>
      <c r="E64" s="17"/>
      <c r="F64" s="42"/>
    </row>
    <row r="65" customFormat="false" ht="15" hidden="false" customHeight="false" outlineLevel="0" collapsed="false">
      <c r="A65" s="42"/>
      <c r="B65" s="19"/>
      <c r="C65" s="42"/>
      <c r="D65" s="42"/>
      <c r="E65" s="17"/>
      <c r="F65" s="42"/>
    </row>
    <row r="66" customFormat="false" ht="15" hidden="false" customHeight="false" outlineLevel="0" collapsed="false">
      <c r="A66" s="42"/>
      <c r="B66" s="19"/>
      <c r="C66" s="42"/>
      <c r="D66" s="42"/>
      <c r="E66" s="17"/>
      <c r="F66" s="42"/>
    </row>
    <row r="67" customFormat="false" ht="15" hidden="false" customHeight="false" outlineLevel="0" collapsed="false">
      <c r="A67" s="42"/>
      <c r="B67" s="19"/>
      <c r="C67" s="42"/>
      <c r="D67" s="42"/>
      <c r="E67" s="17"/>
      <c r="F67" s="42"/>
    </row>
    <row r="68" customFormat="false" ht="15" hidden="false" customHeight="false" outlineLevel="0" collapsed="false">
      <c r="A68" s="42"/>
      <c r="B68" s="19"/>
      <c r="C68" s="42"/>
      <c r="D68" s="42"/>
      <c r="E68" s="17"/>
      <c r="F68" s="42"/>
    </row>
    <row r="69" customFormat="false" ht="15" hidden="false" customHeight="false" outlineLevel="0" collapsed="false">
      <c r="A69" s="42"/>
      <c r="B69" s="19"/>
      <c r="C69" s="42"/>
      <c r="D69" s="42"/>
      <c r="E69" s="17"/>
      <c r="F69" s="42"/>
    </row>
    <row r="70" customFormat="false" ht="15" hidden="false" customHeight="false" outlineLevel="0" collapsed="false">
      <c r="A70" s="42"/>
      <c r="B70" s="19"/>
      <c r="C70" s="42"/>
      <c r="D70" s="42"/>
      <c r="E70" s="17"/>
      <c r="F70" s="42"/>
    </row>
    <row r="71" customFormat="false" ht="15" hidden="false" customHeight="false" outlineLevel="0" collapsed="false">
      <c r="A71" s="42"/>
      <c r="B71" s="19"/>
      <c r="C71" s="42"/>
      <c r="D71" s="42"/>
      <c r="E71" s="17"/>
      <c r="F71" s="42"/>
    </row>
    <row r="72" customFormat="false" ht="15" hidden="false" customHeight="false" outlineLevel="0" collapsed="false">
      <c r="A72" s="42"/>
      <c r="B72" s="19"/>
      <c r="C72" s="42"/>
      <c r="D72" s="42"/>
      <c r="E72" s="17"/>
      <c r="F72" s="42"/>
    </row>
    <row r="73" customFormat="false" ht="15" hidden="false" customHeight="false" outlineLevel="0" collapsed="false">
      <c r="A73" s="42"/>
      <c r="B73" s="19"/>
      <c r="C73" s="42"/>
      <c r="D73" s="42"/>
      <c r="E73" s="17"/>
      <c r="F73" s="42"/>
    </row>
    <row r="74" customFormat="false" ht="15" hidden="false" customHeight="false" outlineLevel="0" collapsed="false">
      <c r="A74" s="42"/>
      <c r="B74" s="19"/>
      <c r="C74" s="42"/>
      <c r="D74" s="42"/>
      <c r="E74" s="17"/>
      <c r="F74" s="42"/>
    </row>
    <row r="75" customFormat="false" ht="15" hidden="false" customHeight="false" outlineLevel="0" collapsed="false">
      <c r="A75" s="42"/>
      <c r="B75" s="19"/>
      <c r="C75" s="42"/>
      <c r="D75" s="42"/>
      <c r="E75" s="17"/>
      <c r="F75" s="42"/>
    </row>
    <row r="76" customFormat="false" ht="15" hidden="false" customHeight="false" outlineLevel="0" collapsed="false">
      <c r="A76" s="42"/>
      <c r="B76" s="19"/>
      <c r="C76" s="42"/>
      <c r="D76" s="42"/>
      <c r="E76" s="17"/>
      <c r="F76" s="42"/>
    </row>
    <row r="77" customFormat="false" ht="15" hidden="false" customHeight="false" outlineLevel="0" collapsed="false">
      <c r="A77" s="42"/>
      <c r="B77" s="19"/>
      <c r="C77" s="42"/>
      <c r="D77" s="42"/>
      <c r="E77" s="17"/>
      <c r="F77" s="42"/>
    </row>
    <row r="78" customFormat="false" ht="15" hidden="false" customHeight="false" outlineLevel="0" collapsed="false">
      <c r="A78" s="42"/>
      <c r="B78" s="19"/>
      <c r="C78" s="42"/>
      <c r="D78" s="42"/>
      <c r="E78" s="17"/>
      <c r="F78" s="42"/>
    </row>
    <row r="79" customFormat="false" ht="15" hidden="false" customHeight="false" outlineLevel="0" collapsed="false">
      <c r="A79" s="42"/>
      <c r="B79" s="19"/>
      <c r="C79" s="42"/>
      <c r="D79" s="42"/>
      <c r="E79" s="17"/>
      <c r="F79" s="42"/>
    </row>
    <row r="80" customFormat="false" ht="15" hidden="false" customHeight="false" outlineLevel="0" collapsed="false">
      <c r="A80" s="42"/>
      <c r="B80" s="19"/>
      <c r="C80" s="42"/>
      <c r="D80" s="42"/>
      <c r="E80" s="17"/>
      <c r="F80" s="42"/>
    </row>
    <row r="81" customFormat="false" ht="15" hidden="false" customHeight="false" outlineLevel="0" collapsed="false">
      <c r="A81" s="42"/>
      <c r="B81" s="19"/>
      <c r="C81" s="42"/>
      <c r="D81" s="42"/>
      <c r="E81" s="17"/>
      <c r="F81" s="42"/>
    </row>
    <row r="82" customFormat="false" ht="15" hidden="false" customHeight="false" outlineLevel="0" collapsed="false">
      <c r="A82" s="42"/>
      <c r="B82" s="19"/>
      <c r="C82" s="42"/>
      <c r="D82" s="42"/>
      <c r="E82" s="17"/>
      <c r="F82" s="42"/>
    </row>
    <row r="83" customFormat="false" ht="15" hidden="false" customHeight="false" outlineLevel="0" collapsed="false">
      <c r="A83" s="42"/>
      <c r="B83" s="19"/>
      <c r="C83" s="42"/>
      <c r="D83" s="42"/>
      <c r="E83" s="17"/>
      <c r="F83" s="42"/>
    </row>
    <row r="84" customFormat="false" ht="15" hidden="false" customHeight="false" outlineLevel="0" collapsed="false">
      <c r="A84" s="42"/>
      <c r="B84" s="19"/>
      <c r="C84" s="42"/>
      <c r="D84" s="42"/>
      <c r="E84" s="17"/>
      <c r="F84" s="42"/>
    </row>
    <row r="85" customFormat="false" ht="15" hidden="false" customHeight="false" outlineLevel="0" collapsed="false">
      <c r="A85" s="42"/>
      <c r="B85" s="19"/>
      <c r="C85" s="42"/>
      <c r="D85" s="42"/>
      <c r="E85" s="17"/>
      <c r="F85" s="42"/>
    </row>
    <row r="86" customFormat="false" ht="15" hidden="false" customHeight="false" outlineLevel="0" collapsed="false">
      <c r="A86" s="42"/>
      <c r="B86" s="19"/>
      <c r="C86" s="42"/>
      <c r="D86" s="42"/>
      <c r="E86" s="17"/>
      <c r="F86" s="42"/>
    </row>
    <row r="87" customFormat="false" ht="15" hidden="false" customHeight="false" outlineLevel="0" collapsed="false">
      <c r="A87" s="42"/>
      <c r="B87" s="19"/>
      <c r="C87" s="42"/>
      <c r="D87" s="42"/>
      <c r="E87" s="17"/>
      <c r="F87" s="42"/>
    </row>
    <row r="88" customFormat="false" ht="15" hidden="false" customHeight="false" outlineLevel="0" collapsed="false">
      <c r="A88" s="42"/>
      <c r="B88" s="19"/>
      <c r="C88" s="42"/>
      <c r="D88" s="42"/>
      <c r="E88" s="17"/>
      <c r="F88" s="42"/>
    </row>
    <row r="89" customFormat="false" ht="15" hidden="false" customHeight="false" outlineLevel="0" collapsed="false">
      <c r="A89" s="42"/>
      <c r="B89" s="19"/>
      <c r="C89" s="42"/>
      <c r="D89" s="42"/>
      <c r="E89" s="17"/>
      <c r="F89" s="42"/>
    </row>
    <row r="90" customFormat="false" ht="15" hidden="false" customHeight="false" outlineLevel="0" collapsed="false">
      <c r="A90" s="42"/>
      <c r="B90" s="19"/>
      <c r="C90" s="42"/>
      <c r="D90" s="42"/>
      <c r="E90" s="17"/>
      <c r="F90" s="42"/>
    </row>
    <row r="91" customFormat="false" ht="15" hidden="false" customHeight="false" outlineLevel="0" collapsed="false">
      <c r="A91" s="42"/>
      <c r="B91" s="19"/>
      <c r="C91" s="42"/>
      <c r="D91" s="42"/>
      <c r="E91" s="17"/>
      <c r="F91" s="42"/>
    </row>
    <row r="92" customFormat="false" ht="15" hidden="false" customHeight="false" outlineLevel="0" collapsed="false">
      <c r="A92" s="42"/>
      <c r="B92" s="19"/>
      <c r="C92" s="42"/>
      <c r="D92" s="42"/>
      <c r="E92" s="17"/>
      <c r="F92" s="42"/>
    </row>
    <row r="93" customFormat="false" ht="15" hidden="false" customHeight="false" outlineLevel="0" collapsed="false">
      <c r="A93" s="42"/>
      <c r="B93" s="19"/>
      <c r="C93" s="42"/>
      <c r="D93" s="42"/>
      <c r="E93" s="17"/>
      <c r="F93" s="42"/>
    </row>
    <row r="94" customFormat="false" ht="15" hidden="false" customHeight="false" outlineLevel="0" collapsed="false">
      <c r="A94" s="42"/>
      <c r="B94" s="19"/>
      <c r="C94" s="42"/>
      <c r="D94" s="42"/>
      <c r="E94" s="17"/>
      <c r="F94" s="42"/>
    </row>
    <row r="95" customFormat="false" ht="15" hidden="false" customHeight="false" outlineLevel="0" collapsed="false">
      <c r="A95" s="42"/>
      <c r="B95" s="19"/>
      <c r="C95" s="42"/>
      <c r="D95" s="42"/>
      <c r="E95" s="17"/>
      <c r="F95" s="42"/>
    </row>
    <row r="96" customFormat="false" ht="15" hidden="false" customHeight="false" outlineLevel="0" collapsed="false">
      <c r="A96" s="42"/>
      <c r="B96" s="19"/>
      <c r="C96" s="42"/>
      <c r="D96" s="42"/>
      <c r="E96" s="17"/>
      <c r="F96" s="42"/>
    </row>
    <row r="97" customFormat="false" ht="15" hidden="false" customHeight="false" outlineLevel="0" collapsed="false">
      <c r="A97" s="42"/>
      <c r="B97" s="19"/>
      <c r="C97" s="42"/>
      <c r="D97" s="42"/>
      <c r="E97" s="17"/>
      <c r="F97" s="42"/>
    </row>
    <row r="98" customFormat="false" ht="15" hidden="false" customHeight="false" outlineLevel="0" collapsed="false">
      <c r="A98" s="42"/>
      <c r="B98" s="19"/>
      <c r="C98" s="42"/>
      <c r="D98" s="42"/>
      <c r="E98" s="17"/>
      <c r="F98" s="42"/>
    </row>
    <row r="99" customFormat="false" ht="15" hidden="false" customHeight="false" outlineLevel="0" collapsed="false">
      <c r="A99" s="42"/>
      <c r="B99" s="19"/>
      <c r="C99" s="42"/>
      <c r="D99" s="42"/>
      <c r="E99" s="17"/>
      <c r="F99" s="42"/>
    </row>
    <row r="100" customFormat="false" ht="15" hidden="false" customHeight="false" outlineLevel="0" collapsed="false">
      <c r="A100" s="42"/>
      <c r="B100" s="19"/>
      <c r="C100" s="42"/>
      <c r="D100" s="42"/>
      <c r="E100" s="17"/>
      <c r="F100" s="42"/>
    </row>
    <row r="101" customFormat="false" ht="15" hidden="false" customHeight="false" outlineLevel="0" collapsed="false">
      <c r="A101" s="42"/>
      <c r="B101" s="19"/>
      <c r="C101" s="42"/>
      <c r="D101" s="42"/>
      <c r="E101" s="17"/>
      <c r="F101" s="42"/>
    </row>
    <row r="102" customFormat="false" ht="15" hidden="false" customHeight="false" outlineLevel="0" collapsed="false">
      <c r="A102" s="42"/>
      <c r="B102" s="19"/>
      <c r="C102" s="42"/>
      <c r="D102" s="42"/>
      <c r="E102" s="17"/>
      <c r="F102" s="42"/>
    </row>
    <row r="103" customFormat="false" ht="15" hidden="false" customHeight="false" outlineLevel="0" collapsed="false">
      <c r="A103" s="42"/>
      <c r="B103" s="19"/>
      <c r="C103" s="42"/>
      <c r="D103" s="42"/>
      <c r="E103" s="17"/>
      <c r="F103" s="42"/>
    </row>
    <row r="104" customFormat="false" ht="15" hidden="false" customHeight="false" outlineLevel="0" collapsed="false">
      <c r="A104" s="42"/>
      <c r="B104" s="19"/>
      <c r="C104" s="42"/>
      <c r="D104" s="42"/>
      <c r="E104" s="17"/>
      <c r="F104" s="42"/>
    </row>
    <row r="105" customFormat="false" ht="15" hidden="false" customHeight="false" outlineLevel="0" collapsed="false">
      <c r="A105" s="42"/>
      <c r="B105" s="19"/>
      <c r="C105" s="42"/>
      <c r="D105" s="42"/>
      <c r="E105" s="17"/>
      <c r="F105" s="42"/>
    </row>
    <row r="106" customFormat="false" ht="15" hidden="false" customHeight="false" outlineLevel="0" collapsed="false">
      <c r="A106" s="42"/>
      <c r="B106" s="19"/>
      <c r="C106" s="42"/>
      <c r="D106" s="42"/>
      <c r="E106" s="17"/>
      <c r="F106" s="42"/>
    </row>
    <row r="107" customFormat="false" ht="15" hidden="false" customHeight="false" outlineLevel="0" collapsed="false">
      <c r="A107" s="42"/>
      <c r="B107" s="19"/>
      <c r="C107" s="42"/>
      <c r="D107" s="42"/>
      <c r="E107" s="17"/>
      <c r="F107" s="42"/>
    </row>
    <row r="108" customFormat="false" ht="15" hidden="false" customHeight="false" outlineLevel="0" collapsed="false">
      <c r="A108" s="42"/>
      <c r="B108" s="19"/>
      <c r="C108" s="42"/>
      <c r="D108" s="42"/>
      <c r="E108" s="17"/>
      <c r="F108" s="42"/>
    </row>
    <row r="109" customFormat="false" ht="15" hidden="false" customHeight="false" outlineLevel="0" collapsed="false">
      <c r="A109" s="42"/>
      <c r="B109" s="19"/>
      <c r="C109" s="42"/>
      <c r="D109" s="42"/>
      <c r="E109" s="17"/>
      <c r="F109" s="42"/>
    </row>
    <row r="110" customFormat="false" ht="15" hidden="false" customHeight="false" outlineLevel="0" collapsed="false">
      <c r="A110" s="42"/>
      <c r="B110" s="19"/>
      <c r="C110" s="42"/>
      <c r="D110" s="42"/>
      <c r="E110" s="17"/>
      <c r="F110" s="42"/>
    </row>
    <row r="111" customFormat="false" ht="15" hidden="false" customHeight="false" outlineLevel="0" collapsed="false">
      <c r="A111" s="42"/>
      <c r="B111" s="19"/>
      <c r="C111" s="42"/>
      <c r="D111" s="42"/>
      <c r="E111" s="17"/>
      <c r="F111" s="42"/>
    </row>
    <row r="112" customFormat="false" ht="15" hidden="false" customHeight="false" outlineLevel="0" collapsed="false">
      <c r="A112" s="42"/>
      <c r="B112" s="19"/>
      <c r="C112" s="42"/>
      <c r="D112" s="42"/>
      <c r="E112" s="17"/>
      <c r="F112" s="42"/>
    </row>
    <row r="113" customFormat="false" ht="15" hidden="false" customHeight="false" outlineLevel="0" collapsed="false">
      <c r="A113" s="42"/>
      <c r="B113" s="19"/>
      <c r="C113" s="42"/>
      <c r="D113" s="42"/>
      <c r="E113" s="17"/>
      <c r="F113" s="42"/>
    </row>
    <row r="114" customFormat="false" ht="15" hidden="false" customHeight="false" outlineLevel="0" collapsed="false">
      <c r="A114" s="42"/>
      <c r="B114" s="19"/>
      <c r="C114" s="42"/>
      <c r="D114" s="42"/>
      <c r="E114" s="17"/>
      <c r="F114" s="42"/>
    </row>
    <row r="115" customFormat="false" ht="15" hidden="false" customHeight="false" outlineLevel="0" collapsed="false">
      <c r="A115" s="42"/>
      <c r="B115" s="19"/>
      <c r="C115" s="42"/>
      <c r="D115" s="42"/>
      <c r="E115" s="17"/>
      <c r="F115" s="42"/>
    </row>
    <row r="116" customFormat="false" ht="15" hidden="false" customHeight="false" outlineLevel="0" collapsed="false">
      <c r="A116" s="42"/>
      <c r="B116" s="19"/>
      <c r="C116" s="42"/>
      <c r="D116" s="42"/>
      <c r="E116" s="17"/>
      <c r="F116" s="42"/>
    </row>
    <row r="117" customFormat="false" ht="15" hidden="false" customHeight="false" outlineLevel="0" collapsed="false">
      <c r="A117" s="42"/>
      <c r="B117" s="19"/>
      <c r="C117" s="42"/>
      <c r="D117" s="42"/>
      <c r="E117" s="17"/>
      <c r="F117" s="42"/>
    </row>
    <row r="118" customFormat="false" ht="15" hidden="false" customHeight="false" outlineLevel="0" collapsed="false">
      <c r="A118" s="42"/>
      <c r="B118" s="19"/>
      <c r="C118" s="42"/>
      <c r="D118" s="42"/>
      <c r="E118" s="17"/>
      <c r="F118" s="42"/>
    </row>
    <row r="119" customFormat="false" ht="15" hidden="false" customHeight="false" outlineLevel="0" collapsed="false">
      <c r="A119" s="42"/>
      <c r="B119" s="19"/>
      <c r="C119" s="42"/>
      <c r="D119" s="42"/>
      <c r="E119" s="17"/>
      <c r="F119" s="42"/>
    </row>
    <row r="120" customFormat="false" ht="15" hidden="false" customHeight="false" outlineLevel="0" collapsed="false">
      <c r="A120" s="42"/>
      <c r="B120" s="19"/>
      <c r="C120" s="42"/>
      <c r="D120" s="42"/>
      <c r="E120" s="17"/>
      <c r="F120" s="42"/>
    </row>
    <row r="121" customFormat="false" ht="15" hidden="false" customHeight="false" outlineLevel="0" collapsed="false">
      <c r="A121" s="42"/>
      <c r="B121" s="19"/>
      <c r="C121" s="42"/>
      <c r="D121" s="42"/>
      <c r="E121" s="17"/>
      <c r="F121" s="42"/>
    </row>
    <row r="122" customFormat="false" ht="15" hidden="false" customHeight="false" outlineLevel="0" collapsed="false">
      <c r="A122" s="42"/>
      <c r="B122" s="19"/>
      <c r="C122" s="42"/>
      <c r="D122" s="42"/>
      <c r="E122" s="17"/>
      <c r="F122" s="42"/>
    </row>
    <row r="123" customFormat="false" ht="15" hidden="false" customHeight="false" outlineLevel="0" collapsed="false">
      <c r="A123" s="42"/>
      <c r="B123" s="19"/>
      <c r="C123" s="42"/>
      <c r="D123" s="42"/>
      <c r="E123" s="17"/>
      <c r="F123" s="42"/>
    </row>
    <row r="124" customFormat="false" ht="15" hidden="false" customHeight="false" outlineLevel="0" collapsed="false">
      <c r="A124" s="42"/>
      <c r="B124" s="19"/>
      <c r="C124" s="42"/>
      <c r="D124" s="42"/>
      <c r="E124" s="17"/>
      <c r="F124" s="42"/>
    </row>
    <row r="125" customFormat="false" ht="15" hidden="false" customHeight="false" outlineLevel="0" collapsed="false">
      <c r="A125" s="42"/>
      <c r="B125" s="19"/>
      <c r="C125" s="42"/>
      <c r="D125" s="42"/>
      <c r="E125" s="17"/>
      <c r="F125" s="42"/>
    </row>
    <row r="126" customFormat="false" ht="15" hidden="false" customHeight="false" outlineLevel="0" collapsed="false">
      <c r="A126" s="42"/>
      <c r="B126" s="19"/>
      <c r="C126" s="42"/>
      <c r="D126" s="42"/>
      <c r="E126" s="17"/>
      <c r="F126" s="42"/>
    </row>
    <row r="127" customFormat="false" ht="15" hidden="false" customHeight="false" outlineLevel="0" collapsed="false">
      <c r="A127" s="42"/>
      <c r="B127" s="19"/>
      <c r="C127" s="42"/>
      <c r="D127" s="42"/>
      <c r="E127" s="17"/>
      <c r="F127" s="42"/>
    </row>
    <row r="128" customFormat="false" ht="15" hidden="false" customHeight="false" outlineLevel="0" collapsed="false">
      <c r="A128" s="42"/>
      <c r="B128" s="19"/>
      <c r="C128" s="42"/>
      <c r="D128" s="42"/>
      <c r="E128" s="17"/>
      <c r="F128" s="42"/>
    </row>
    <row r="129" customFormat="false" ht="15" hidden="false" customHeight="false" outlineLevel="0" collapsed="false">
      <c r="A129" s="42"/>
      <c r="B129" s="19"/>
      <c r="C129" s="42"/>
      <c r="D129" s="42"/>
      <c r="E129" s="17"/>
      <c r="F129" s="42"/>
    </row>
    <row r="130" customFormat="false" ht="15" hidden="false" customHeight="false" outlineLevel="0" collapsed="false">
      <c r="A130" s="42"/>
      <c r="B130" s="19"/>
      <c r="C130" s="42"/>
      <c r="D130" s="42"/>
      <c r="E130" s="17"/>
      <c r="F130" s="42"/>
    </row>
    <row r="131" customFormat="false" ht="15" hidden="false" customHeight="false" outlineLevel="0" collapsed="false">
      <c r="A131" s="42"/>
      <c r="B131" s="19"/>
      <c r="C131" s="42"/>
      <c r="D131" s="42"/>
      <c r="E131" s="17"/>
      <c r="F131" s="42"/>
    </row>
    <row r="132" customFormat="false" ht="15" hidden="false" customHeight="false" outlineLevel="0" collapsed="false">
      <c r="A132" s="42"/>
      <c r="B132" s="19"/>
      <c r="C132" s="42"/>
      <c r="D132" s="42"/>
      <c r="E132" s="17"/>
      <c r="F132" s="42"/>
    </row>
    <row r="133" customFormat="false" ht="15" hidden="false" customHeight="false" outlineLevel="0" collapsed="false">
      <c r="A133" s="42"/>
      <c r="B133" s="19"/>
      <c r="C133" s="42"/>
      <c r="D133" s="42"/>
      <c r="E133" s="17"/>
      <c r="F133" s="42"/>
    </row>
    <row r="134" customFormat="false" ht="15" hidden="false" customHeight="false" outlineLevel="0" collapsed="false">
      <c r="A134" s="42"/>
      <c r="B134" s="19"/>
      <c r="C134" s="42"/>
      <c r="D134" s="42"/>
      <c r="E134" s="17"/>
      <c r="F134" s="42"/>
    </row>
    <row r="135" customFormat="false" ht="15" hidden="false" customHeight="false" outlineLevel="0" collapsed="false">
      <c r="A135" s="42"/>
      <c r="B135" s="19"/>
      <c r="C135" s="42"/>
      <c r="D135" s="42"/>
      <c r="E135" s="17"/>
      <c r="F135" s="42"/>
    </row>
    <row r="136" customFormat="false" ht="15" hidden="false" customHeight="false" outlineLevel="0" collapsed="false">
      <c r="A136" s="42"/>
      <c r="B136" s="19"/>
      <c r="C136" s="42"/>
      <c r="D136" s="42"/>
      <c r="E136" s="17"/>
      <c r="F136" s="42"/>
    </row>
    <row r="137" customFormat="false" ht="15" hidden="false" customHeight="false" outlineLevel="0" collapsed="false">
      <c r="A137" s="42"/>
      <c r="B137" s="19"/>
      <c r="C137" s="42"/>
      <c r="D137" s="42"/>
      <c r="E137" s="17"/>
      <c r="F137" s="42"/>
    </row>
    <row r="138" customFormat="false" ht="15" hidden="false" customHeight="false" outlineLevel="0" collapsed="false">
      <c r="A138" s="42"/>
      <c r="B138" s="19"/>
      <c r="C138" s="42"/>
      <c r="D138" s="42"/>
      <c r="E138" s="17"/>
      <c r="F138" s="42"/>
    </row>
    <row r="139" customFormat="false" ht="15" hidden="false" customHeight="false" outlineLevel="0" collapsed="false">
      <c r="A139" s="42"/>
      <c r="B139" s="19"/>
      <c r="C139" s="42"/>
      <c r="D139" s="42"/>
      <c r="E139" s="17"/>
      <c r="F139" s="42"/>
    </row>
    <row r="140" customFormat="false" ht="15" hidden="false" customHeight="false" outlineLevel="0" collapsed="false">
      <c r="A140" s="42"/>
      <c r="B140" s="19"/>
      <c r="C140" s="42"/>
      <c r="D140" s="42"/>
      <c r="E140" s="17"/>
      <c r="F140" s="42"/>
    </row>
    <row r="141" customFormat="false" ht="15" hidden="false" customHeight="false" outlineLevel="0" collapsed="false">
      <c r="A141" s="42"/>
      <c r="B141" s="19"/>
      <c r="C141" s="42"/>
      <c r="D141" s="42"/>
      <c r="E141" s="17"/>
      <c r="F141" s="42"/>
    </row>
    <row r="142" customFormat="false" ht="15" hidden="false" customHeight="false" outlineLevel="0" collapsed="false">
      <c r="A142" s="42"/>
      <c r="B142" s="19"/>
      <c r="C142" s="42"/>
      <c r="D142" s="42"/>
      <c r="E142" s="17"/>
      <c r="F142" s="42"/>
    </row>
    <row r="143" customFormat="false" ht="15" hidden="false" customHeight="false" outlineLevel="0" collapsed="false">
      <c r="A143" s="42"/>
      <c r="B143" s="19"/>
      <c r="C143" s="42"/>
      <c r="D143" s="42"/>
      <c r="E143" s="17"/>
      <c r="F143" s="42"/>
    </row>
    <row r="144" customFormat="false" ht="15" hidden="false" customHeight="false" outlineLevel="0" collapsed="false">
      <c r="A144" s="42"/>
      <c r="B144" s="19"/>
      <c r="C144" s="42"/>
      <c r="D144" s="42"/>
      <c r="E144" s="17"/>
      <c r="F144" s="42"/>
    </row>
    <row r="145" customFormat="false" ht="15" hidden="false" customHeight="false" outlineLevel="0" collapsed="false">
      <c r="A145" s="42"/>
      <c r="B145" s="19"/>
      <c r="C145" s="42"/>
      <c r="D145" s="42"/>
      <c r="E145" s="17"/>
      <c r="F145" s="42"/>
    </row>
    <row r="146" customFormat="false" ht="15" hidden="false" customHeight="false" outlineLevel="0" collapsed="false">
      <c r="A146" s="42"/>
      <c r="B146" s="19"/>
      <c r="C146" s="42"/>
      <c r="D146" s="42"/>
      <c r="E146" s="17"/>
      <c r="F146" s="42"/>
    </row>
    <row r="147" customFormat="false" ht="15" hidden="false" customHeight="false" outlineLevel="0" collapsed="false">
      <c r="A147" s="42"/>
      <c r="B147" s="19"/>
      <c r="C147" s="42"/>
      <c r="D147" s="42"/>
      <c r="E147" s="17"/>
      <c r="F147" s="42"/>
    </row>
    <row r="148" customFormat="false" ht="15" hidden="false" customHeight="false" outlineLevel="0" collapsed="false">
      <c r="A148" s="42"/>
      <c r="B148" s="19"/>
      <c r="C148" s="42"/>
      <c r="D148" s="42"/>
      <c r="E148" s="17"/>
      <c r="F148" s="42"/>
    </row>
    <row r="149" customFormat="false" ht="15" hidden="false" customHeight="false" outlineLevel="0" collapsed="false">
      <c r="A149" s="42"/>
      <c r="B149" s="19"/>
      <c r="C149" s="42"/>
      <c r="D149" s="42"/>
      <c r="E149" s="17"/>
      <c r="F149" s="42"/>
    </row>
    <row r="150" customFormat="false" ht="15" hidden="false" customHeight="false" outlineLevel="0" collapsed="false">
      <c r="A150" s="42"/>
      <c r="B150" s="19"/>
      <c r="C150" s="42"/>
      <c r="D150" s="42"/>
      <c r="E150" s="17"/>
      <c r="F150" s="42"/>
    </row>
    <row r="151" customFormat="false" ht="15" hidden="false" customHeight="false" outlineLevel="0" collapsed="false">
      <c r="A151" s="42"/>
      <c r="B151" s="19"/>
      <c r="C151" s="42"/>
      <c r="D151" s="42"/>
      <c r="E151" s="17"/>
      <c r="F151" s="42"/>
    </row>
    <row r="152" customFormat="false" ht="15" hidden="false" customHeight="false" outlineLevel="0" collapsed="false">
      <c r="A152" s="42"/>
      <c r="B152" s="19"/>
      <c r="C152" s="42"/>
      <c r="D152" s="42"/>
      <c r="E152" s="17"/>
      <c r="F152" s="42"/>
    </row>
    <row r="153" customFormat="false" ht="15" hidden="false" customHeight="false" outlineLevel="0" collapsed="false">
      <c r="A153" s="42"/>
      <c r="B153" s="19"/>
      <c r="C153" s="42"/>
      <c r="D153" s="42"/>
      <c r="E153" s="17"/>
      <c r="F153" s="42"/>
    </row>
    <row r="154" customFormat="false" ht="15" hidden="false" customHeight="false" outlineLevel="0" collapsed="false">
      <c r="A154" s="42"/>
      <c r="B154" s="19"/>
      <c r="C154" s="42"/>
      <c r="D154" s="42"/>
      <c r="E154" s="17"/>
      <c r="F154" s="42"/>
    </row>
    <row r="155" customFormat="false" ht="15" hidden="false" customHeight="false" outlineLevel="0" collapsed="false">
      <c r="A155" s="42"/>
      <c r="B155" s="19"/>
      <c r="C155" s="42"/>
      <c r="D155" s="42"/>
      <c r="E155" s="17"/>
      <c r="F155" s="42"/>
    </row>
    <row r="156" customFormat="false" ht="15" hidden="false" customHeight="false" outlineLevel="0" collapsed="false">
      <c r="A156" s="42"/>
      <c r="B156" s="19"/>
      <c r="C156" s="42"/>
      <c r="D156" s="42"/>
      <c r="E156" s="17"/>
      <c r="F156" s="42"/>
    </row>
    <row r="157" customFormat="false" ht="15" hidden="false" customHeight="false" outlineLevel="0" collapsed="false">
      <c r="A157" s="42"/>
      <c r="B157" s="19"/>
      <c r="C157" s="42"/>
      <c r="D157" s="42"/>
      <c r="E157" s="17"/>
      <c r="F157" s="42"/>
    </row>
    <row r="158" customFormat="false" ht="15" hidden="false" customHeight="false" outlineLevel="0" collapsed="false">
      <c r="A158" s="42"/>
      <c r="B158" s="19"/>
      <c r="C158" s="42"/>
      <c r="D158" s="42"/>
      <c r="E158" s="17"/>
      <c r="F158" s="42"/>
    </row>
    <row r="159" customFormat="false" ht="15" hidden="false" customHeight="false" outlineLevel="0" collapsed="false">
      <c r="A159" s="42"/>
      <c r="B159" s="19"/>
      <c r="C159" s="42"/>
      <c r="D159" s="42"/>
      <c r="E159" s="17"/>
      <c r="F159" s="42"/>
    </row>
    <row r="160" customFormat="false" ht="15" hidden="false" customHeight="false" outlineLevel="0" collapsed="false">
      <c r="A160" s="42"/>
      <c r="B160" s="19"/>
      <c r="C160" s="42"/>
      <c r="D160" s="42"/>
      <c r="E160" s="17"/>
      <c r="F160" s="42"/>
    </row>
    <row r="161" customFormat="false" ht="15" hidden="false" customHeight="false" outlineLevel="0" collapsed="false">
      <c r="A161" s="42"/>
      <c r="B161" s="19"/>
      <c r="C161" s="42"/>
      <c r="D161" s="42"/>
      <c r="E161" s="17"/>
      <c r="F161" s="42"/>
    </row>
    <row r="162" customFormat="false" ht="15" hidden="false" customHeight="false" outlineLevel="0" collapsed="false">
      <c r="A162" s="42"/>
      <c r="B162" s="19"/>
      <c r="C162" s="42"/>
      <c r="D162" s="42"/>
      <c r="E162" s="17"/>
      <c r="F162" s="42"/>
    </row>
    <row r="163" customFormat="false" ht="15" hidden="false" customHeight="false" outlineLevel="0" collapsed="false">
      <c r="A163" s="42"/>
      <c r="B163" s="19"/>
      <c r="C163" s="42"/>
      <c r="D163" s="42"/>
      <c r="E163" s="17"/>
      <c r="F163" s="42"/>
    </row>
    <row r="164" customFormat="false" ht="15" hidden="false" customHeight="false" outlineLevel="0" collapsed="false">
      <c r="A164" s="42"/>
      <c r="B164" s="19"/>
      <c r="C164" s="42"/>
      <c r="D164" s="42"/>
      <c r="E164" s="17"/>
      <c r="F164" s="42"/>
    </row>
    <row r="165" customFormat="false" ht="15" hidden="false" customHeight="false" outlineLevel="0" collapsed="false">
      <c r="A165" s="42"/>
      <c r="B165" s="19"/>
      <c r="C165" s="42"/>
      <c r="D165" s="42"/>
      <c r="E165" s="17"/>
      <c r="F165" s="42"/>
    </row>
    <row r="166" customFormat="false" ht="15" hidden="false" customHeight="false" outlineLevel="0" collapsed="false">
      <c r="A166" s="42"/>
      <c r="B166" s="19"/>
      <c r="C166" s="42"/>
      <c r="D166" s="42"/>
      <c r="E166" s="17"/>
      <c r="F166" s="42"/>
    </row>
    <row r="167" customFormat="false" ht="15" hidden="false" customHeight="false" outlineLevel="0" collapsed="false">
      <c r="A167" s="42"/>
      <c r="B167" s="19"/>
      <c r="C167" s="42"/>
      <c r="D167" s="42"/>
      <c r="E167" s="17"/>
      <c r="F167" s="42"/>
    </row>
    <row r="168" customFormat="false" ht="15" hidden="false" customHeight="false" outlineLevel="0" collapsed="false">
      <c r="A168" s="42"/>
      <c r="B168" s="19"/>
      <c r="C168" s="42"/>
      <c r="D168" s="42"/>
      <c r="E168" s="17"/>
      <c r="F168" s="42"/>
    </row>
    <row r="169" customFormat="false" ht="15" hidden="false" customHeight="false" outlineLevel="0" collapsed="false">
      <c r="A169" s="42"/>
      <c r="B169" s="19"/>
      <c r="C169" s="42"/>
      <c r="D169" s="42"/>
      <c r="E169" s="17"/>
      <c r="F169" s="42"/>
    </row>
    <row r="170" customFormat="false" ht="15" hidden="false" customHeight="false" outlineLevel="0" collapsed="false">
      <c r="A170" s="42"/>
      <c r="B170" s="19"/>
      <c r="C170" s="42"/>
      <c r="D170" s="42"/>
      <c r="E170" s="17"/>
      <c r="F170" s="42"/>
    </row>
    <row r="171" customFormat="false" ht="15" hidden="false" customHeight="false" outlineLevel="0" collapsed="false">
      <c r="A171" s="42"/>
      <c r="B171" s="19"/>
      <c r="C171" s="42"/>
      <c r="D171" s="42"/>
      <c r="E171" s="17"/>
      <c r="F171" s="42"/>
    </row>
    <row r="172" customFormat="false" ht="15" hidden="false" customHeight="false" outlineLevel="0" collapsed="false">
      <c r="A172" s="42"/>
      <c r="B172" s="19"/>
      <c r="C172" s="42"/>
      <c r="D172" s="42"/>
      <c r="E172" s="17"/>
      <c r="F172" s="42"/>
    </row>
    <row r="173" customFormat="false" ht="15" hidden="false" customHeight="false" outlineLevel="0" collapsed="false">
      <c r="A173" s="42"/>
      <c r="B173" s="19"/>
      <c r="C173" s="42"/>
      <c r="D173" s="42"/>
      <c r="E173" s="17"/>
      <c r="F173" s="42"/>
    </row>
    <row r="174" customFormat="false" ht="15" hidden="false" customHeight="false" outlineLevel="0" collapsed="false">
      <c r="A174" s="42"/>
      <c r="B174" s="19"/>
      <c r="C174" s="42"/>
      <c r="D174" s="42"/>
      <c r="E174" s="17"/>
      <c r="F174" s="42"/>
    </row>
    <row r="175" customFormat="false" ht="15" hidden="false" customHeight="false" outlineLevel="0" collapsed="false">
      <c r="A175" s="42"/>
      <c r="B175" s="19"/>
      <c r="C175" s="42"/>
      <c r="D175" s="42"/>
      <c r="E175" s="17"/>
      <c r="F175" s="42"/>
    </row>
    <row r="176" customFormat="false" ht="15" hidden="false" customHeight="false" outlineLevel="0" collapsed="false">
      <c r="A176" s="42"/>
      <c r="B176" s="19"/>
      <c r="C176" s="42"/>
      <c r="D176" s="42"/>
      <c r="E176" s="17"/>
      <c r="F176" s="42"/>
    </row>
    <row r="177" customFormat="false" ht="15" hidden="false" customHeight="false" outlineLevel="0" collapsed="false">
      <c r="A177" s="42"/>
      <c r="B177" s="19"/>
      <c r="C177" s="42"/>
      <c r="D177" s="42"/>
      <c r="E177" s="17"/>
      <c r="F177" s="42"/>
    </row>
    <row r="178" customFormat="false" ht="15" hidden="false" customHeight="false" outlineLevel="0" collapsed="false">
      <c r="A178" s="42"/>
      <c r="B178" s="19"/>
      <c r="C178" s="42"/>
      <c r="D178" s="42"/>
      <c r="E178" s="17"/>
      <c r="F178" s="42"/>
    </row>
    <row r="179" customFormat="false" ht="15" hidden="false" customHeight="false" outlineLevel="0" collapsed="false">
      <c r="A179" s="42"/>
      <c r="B179" s="19"/>
      <c r="C179" s="42"/>
      <c r="D179" s="42"/>
      <c r="E179" s="17"/>
      <c r="F179" s="42"/>
    </row>
    <row r="180" customFormat="false" ht="15" hidden="false" customHeight="false" outlineLevel="0" collapsed="false">
      <c r="A180" s="42"/>
      <c r="B180" s="19"/>
      <c r="C180" s="42"/>
      <c r="D180" s="42"/>
      <c r="E180" s="17"/>
      <c r="F180" s="42"/>
    </row>
    <row r="181" customFormat="false" ht="15" hidden="false" customHeight="false" outlineLevel="0" collapsed="false">
      <c r="A181" s="42"/>
      <c r="B181" s="19"/>
      <c r="C181" s="42"/>
      <c r="D181" s="42"/>
      <c r="E181" s="17"/>
      <c r="F181" s="42"/>
    </row>
    <row r="182" customFormat="false" ht="15" hidden="false" customHeight="false" outlineLevel="0" collapsed="false">
      <c r="A182" s="42"/>
      <c r="B182" s="19"/>
      <c r="C182" s="42"/>
      <c r="D182" s="42"/>
      <c r="E182" s="17"/>
      <c r="F182" s="42"/>
    </row>
    <row r="183" customFormat="false" ht="15" hidden="false" customHeight="false" outlineLevel="0" collapsed="false">
      <c r="A183" s="42"/>
      <c r="B183" s="19"/>
      <c r="C183" s="42"/>
      <c r="D183" s="42"/>
      <c r="E183" s="17"/>
      <c r="F183" s="42"/>
    </row>
    <row r="184" customFormat="false" ht="15" hidden="false" customHeight="false" outlineLevel="0" collapsed="false">
      <c r="A184" s="42"/>
      <c r="B184" s="19"/>
      <c r="C184" s="42"/>
      <c r="D184" s="42"/>
      <c r="E184" s="17"/>
      <c r="F184" s="42"/>
    </row>
    <row r="185" customFormat="false" ht="15" hidden="false" customHeight="false" outlineLevel="0" collapsed="false">
      <c r="A185" s="42"/>
      <c r="B185" s="19"/>
      <c r="C185" s="42"/>
      <c r="D185" s="42"/>
      <c r="E185" s="17"/>
      <c r="F185" s="42"/>
    </row>
    <row r="186" customFormat="false" ht="15" hidden="false" customHeight="false" outlineLevel="0" collapsed="false">
      <c r="A186" s="42"/>
      <c r="B186" s="19"/>
      <c r="C186" s="42"/>
      <c r="D186" s="42"/>
      <c r="E186" s="17"/>
      <c r="F186" s="42"/>
    </row>
    <row r="187" customFormat="false" ht="15" hidden="false" customHeight="false" outlineLevel="0" collapsed="false">
      <c r="A187" s="42"/>
      <c r="B187" s="19"/>
      <c r="C187" s="42"/>
      <c r="D187" s="42"/>
      <c r="E187" s="17"/>
      <c r="F187" s="42"/>
    </row>
    <row r="188" customFormat="false" ht="15" hidden="false" customHeight="false" outlineLevel="0" collapsed="false">
      <c r="A188" s="42"/>
      <c r="B188" s="19"/>
      <c r="C188" s="42"/>
      <c r="D188" s="42"/>
      <c r="E188" s="17"/>
      <c r="F188" s="42"/>
    </row>
    <row r="189" customFormat="false" ht="15" hidden="false" customHeight="false" outlineLevel="0" collapsed="false">
      <c r="A189" s="42"/>
      <c r="B189" s="19"/>
      <c r="C189" s="42"/>
      <c r="D189" s="42"/>
      <c r="E189" s="17"/>
      <c r="F189" s="42"/>
    </row>
    <row r="190" customFormat="false" ht="15" hidden="false" customHeight="false" outlineLevel="0" collapsed="false">
      <c r="A190" s="42"/>
      <c r="B190" s="19"/>
      <c r="C190" s="42"/>
      <c r="D190" s="42"/>
      <c r="E190" s="17"/>
      <c r="F190" s="42"/>
    </row>
    <row r="191" customFormat="false" ht="15" hidden="false" customHeight="false" outlineLevel="0" collapsed="false">
      <c r="A191" s="42"/>
      <c r="B191" s="19"/>
      <c r="C191" s="42"/>
      <c r="D191" s="42"/>
      <c r="E191" s="17"/>
      <c r="F191" s="42"/>
    </row>
    <row r="192" customFormat="false" ht="15" hidden="false" customHeight="false" outlineLevel="0" collapsed="false">
      <c r="A192" s="42"/>
      <c r="B192" s="19"/>
      <c r="C192" s="42"/>
      <c r="D192" s="42"/>
      <c r="E192" s="17"/>
      <c r="F192" s="42"/>
    </row>
    <row r="193" customFormat="false" ht="15" hidden="false" customHeight="false" outlineLevel="0" collapsed="false">
      <c r="A193" s="42"/>
      <c r="B193" s="19"/>
      <c r="C193" s="42"/>
      <c r="D193" s="42"/>
      <c r="E193" s="17"/>
      <c r="F193" s="42"/>
    </row>
    <row r="194" customFormat="false" ht="15" hidden="false" customHeight="false" outlineLevel="0" collapsed="false">
      <c r="A194" s="42"/>
      <c r="B194" s="19"/>
      <c r="C194" s="42"/>
      <c r="D194" s="42"/>
      <c r="E194" s="17"/>
      <c r="F194" s="42"/>
    </row>
    <row r="195" customFormat="false" ht="15" hidden="false" customHeight="false" outlineLevel="0" collapsed="false">
      <c r="A195" s="42"/>
      <c r="B195" s="19"/>
      <c r="C195" s="42"/>
      <c r="D195" s="42"/>
      <c r="E195" s="17"/>
      <c r="F195" s="42"/>
    </row>
    <row r="196" customFormat="false" ht="15" hidden="false" customHeight="false" outlineLevel="0" collapsed="false">
      <c r="A196" s="42"/>
      <c r="B196" s="19"/>
      <c r="C196" s="42"/>
      <c r="D196" s="42"/>
      <c r="E196" s="17"/>
      <c r="F196" s="42"/>
    </row>
    <row r="197" customFormat="false" ht="15" hidden="false" customHeight="false" outlineLevel="0" collapsed="false">
      <c r="A197" s="42"/>
      <c r="B197" s="19"/>
      <c r="C197" s="42"/>
      <c r="D197" s="42"/>
      <c r="E197" s="17"/>
      <c r="F197" s="42"/>
    </row>
    <row r="198" customFormat="false" ht="15" hidden="false" customHeight="false" outlineLevel="0" collapsed="false">
      <c r="A198" s="42"/>
      <c r="B198" s="19"/>
      <c r="C198" s="42"/>
      <c r="D198" s="42"/>
      <c r="E198" s="17"/>
      <c r="F198" s="42"/>
    </row>
    <row r="199" customFormat="false" ht="15" hidden="false" customHeight="false" outlineLevel="0" collapsed="false">
      <c r="A199" s="42"/>
      <c r="B199" s="19"/>
      <c r="C199" s="42"/>
      <c r="D199" s="42"/>
      <c r="E199" s="17"/>
      <c r="F199" s="42"/>
    </row>
    <row r="200" customFormat="false" ht="15" hidden="false" customHeight="false" outlineLevel="0" collapsed="false">
      <c r="A200" s="42"/>
      <c r="B200" s="19"/>
      <c r="C200" s="42"/>
      <c r="D200" s="42"/>
      <c r="E200" s="17"/>
      <c r="F200" s="42"/>
    </row>
    <row r="201" customFormat="false" ht="15" hidden="false" customHeight="false" outlineLevel="0" collapsed="false">
      <c r="A201" s="42"/>
      <c r="B201" s="19"/>
      <c r="C201" s="42"/>
      <c r="D201" s="42"/>
      <c r="E201" s="17"/>
      <c r="F201" s="42"/>
    </row>
    <row r="202" customFormat="false" ht="15" hidden="false" customHeight="false" outlineLevel="0" collapsed="false">
      <c r="A202" s="42"/>
      <c r="B202" s="19"/>
      <c r="C202" s="42"/>
      <c r="D202" s="42"/>
      <c r="E202" s="17"/>
      <c r="F202" s="42"/>
    </row>
    <row r="203" customFormat="false" ht="15" hidden="false" customHeight="false" outlineLevel="0" collapsed="false">
      <c r="A203" s="42"/>
      <c r="B203" s="19"/>
      <c r="C203" s="42"/>
      <c r="D203" s="42"/>
      <c r="E203" s="17"/>
      <c r="F203" s="42"/>
    </row>
    <row r="204" customFormat="false" ht="15" hidden="false" customHeight="false" outlineLevel="0" collapsed="false">
      <c r="A204" s="42"/>
      <c r="B204" s="19"/>
      <c r="C204" s="42"/>
      <c r="D204" s="42"/>
      <c r="E204" s="17"/>
      <c r="F204" s="42"/>
    </row>
    <row r="205" customFormat="false" ht="15" hidden="false" customHeight="false" outlineLevel="0" collapsed="false">
      <c r="A205" s="42"/>
      <c r="B205" s="19"/>
      <c r="C205" s="42"/>
      <c r="D205" s="42"/>
      <c r="E205" s="17"/>
      <c r="F205" s="42"/>
    </row>
    <row r="206" customFormat="false" ht="15" hidden="false" customHeight="false" outlineLevel="0" collapsed="false">
      <c r="A206" s="42"/>
      <c r="B206" s="19"/>
      <c r="C206" s="42"/>
      <c r="D206" s="42"/>
      <c r="E206" s="17"/>
      <c r="F206" s="42"/>
    </row>
    <row r="207" customFormat="false" ht="15" hidden="false" customHeight="false" outlineLevel="0" collapsed="false">
      <c r="A207" s="42"/>
      <c r="B207" s="19"/>
      <c r="C207" s="42"/>
      <c r="D207" s="42"/>
      <c r="E207" s="17"/>
      <c r="F207" s="42"/>
    </row>
    <row r="208" customFormat="false" ht="15" hidden="false" customHeight="false" outlineLevel="0" collapsed="false">
      <c r="A208" s="42"/>
      <c r="B208" s="19"/>
      <c r="C208" s="42"/>
      <c r="D208" s="42"/>
      <c r="E208" s="17"/>
      <c r="F208" s="42"/>
    </row>
    <row r="209" customFormat="false" ht="15" hidden="false" customHeight="false" outlineLevel="0" collapsed="false">
      <c r="A209" s="42"/>
      <c r="B209" s="19"/>
      <c r="C209" s="42"/>
      <c r="D209" s="42"/>
      <c r="E209" s="17"/>
      <c r="F209" s="42"/>
    </row>
    <row r="210" customFormat="false" ht="15" hidden="false" customHeight="false" outlineLevel="0" collapsed="false">
      <c r="A210" s="42"/>
      <c r="B210" s="19"/>
      <c r="C210" s="42"/>
      <c r="D210" s="42"/>
      <c r="E210" s="17"/>
      <c r="F210" s="42"/>
    </row>
    <row r="211" customFormat="false" ht="15" hidden="false" customHeight="false" outlineLevel="0" collapsed="false">
      <c r="A211" s="42"/>
      <c r="B211" s="19"/>
      <c r="C211" s="42"/>
      <c r="D211" s="42"/>
      <c r="E211" s="17"/>
      <c r="F211" s="42"/>
    </row>
    <row r="212" customFormat="false" ht="15" hidden="false" customHeight="false" outlineLevel="0" collapsed="false">
      <c r="A212" s="42"/>
      <c r="B212" s="19"/>
      <c r="C212" s="42"/>
      <c r="D212" s="42"/>
      <c r="E212" s="17"/>
      <c r="F212" s="42"/>
    </row>
    <row r="213" customFormat="false" ht="15" hidden="false" customHeight="false" outlineLevel="0" collapsed="false">
      <c r="A213" s="42"/>
      <c r="B213" s="19"/>
      <c r="C213" s="42"/>
      <c r="D213" s="42"/>
      <c r="E213" s="17"/>
      <c r="F213" s="42"/>
    </row>
    <row r="214" customFormat="false" ht="15" hidden="false" customHeight="false" outlineLevel="0" collapsed="false">
      <c r="A214" s="42"/>
      <c r="B214" s="19"/>
      <c r="C214" s="42"/>
      <c r="D214" s="42"/>
      <c r="E214" s="17"/>
      <c r="F214" s="42"/>
    </row>
    <row r="215" customFormat="false" ht="15" hidden="false" customHeight="false" outlineLevel="0" collapsed="false">
      <c r="A215" s="42"/>
      <c r="B215" s="19"/>
      <c r="C215" s="42"/>
      <c r="D215" s="42"/>
      <c r="E215" s="17"/>
      <c r="F215" s="42"/>
    </row>
    <row r="216" customFormat="false" ht="15" hidden="false" customHeight="false" outlineLevel="0" collapsed="false">
      <c r="A216" s="42"/>
      <c r="B216" s="19"/>
      <c r="C216" s="42"/>
      <c r="D216" s="42"/>
      <c r="E216" s="17"/>
      <c r="F216" s="42"/>
    </row>
    <row r="217" customFormat="false" ht="15" hidden="false" customHeight="false" outlineLevel="0" collapsed="false">
      <c r="A217" s="42"/>
      <c r="B217" s="19"/>
      <c r="C217" s="42"/>
      <c r="D217" s="42"/>
      <c r="E217" s="17"/>
      <c r="F217" s="42"/>
    </row>
    <row r="218" customFormat="false" ht="15" hidden="false" customHeight="false" outlineLevel="0" collapsed="false">
      <c r="A218" s="42"/>
      <c r="B218" s="19"/>
      <c r="C218" s="42"/>
      <c r="D218" s="42"/>
      <c r="E218" s="17"/>
      <c r="F218" s="42"/>
    </row>
    <row r="219" customFormat="false" ht="15" hidden="false" customHeight="false" outlineLevel="0" collapsed="false">
      <c r="A219" s="42"/>
      <c r="B219" s="19"/>
      <c r="C219" s="42"/>
      <c r="D219" s="42"/>
      <c r="E219" s="17"/>
      <c r="F219" s="42"/>
    </row>
    <row r="220" customFormat="false" ht="15" hidden="false" customHeight="false" outlineLevel="0" collapsed="false">
      <c r="A220" s="42"/>
      <c r="B220" s="19"/>
      <c r="C220" s="42"/>
      <c r="D220" s="42"/>
      <c r="E220" s="17"/>
      <c r="F220" s="42"/>
    </row>
    <row r="221" customFormat="false" ht="15" hidden="false" customHeight="false" outlineLevel="0" collapsed="false">
      <c r="A221" s="42"/>
      <c r="B221" s="19"/>
      <c r="C221" s="42"/>
      <c r="D221" s="42"/>
      <c r="E221" s="17"/>
      <c r="F221" s="42"/>
    </row>
    <row r="222" customFormat="false" ht="15" hidden="false" customHeight="false" outlineLevel="0" collapsed="false">
      <c r="A222" s="42"/>
      <c r="B222" s="19"/>
      <c r="C222" s="42"/>
      <c r="D222" s="42"/>
      <c r="E222" s="17"/>
      <c r="F222" s="42"/>
    </row>
    <row r="223" customFormat="false" ht="15" hidden="false" customHeight="false" outlineLevel="0" collapsed="false">
      <c r="A223" s="42"/>
      <c r="B223" s="19"/>
      <c r="C223" s="42"/>
      <c r="D223" s="42"/>
      <c r="E223" s="17"/>
      <c r="F223" s="42"/>
    </row>
    <row r="224" customFormat="false" ht="15" hidden="false" customHeight="false" outlineLevel="0" collapsed="false">
      <c r="A224" s="42"/>
      <c r="B224" s="19"/>
      <c r="C224" s="42"/>
      <c r="D224" s="42"/>
      <c r="E224" s="17"/>
      <c r="F224" s="42"/>
    </row>
    <row r="225" customFormat="false" ht="15" hidden="false" customHeight="false" outlineLevel="0" collapsed="false">
      <c r="A225" s="42"/>
      <c r="B225" s="19"/>
      <c r="C225" s="42"/>
      <c r="D225" s="42"/>
      <c r="E225" s="17"/>
      <c r="F225" s="42"/>
    </row>
    <row r="226" customFormat="false" ht="15" hidden="false" customHeight="false" outlineLevel="0" collapsed="false">
      <c r="A226" s="42"/>
      <c r="B226" s="19"/>
      <c r="C226" s="42"/>
      <c r="D226" s="42"/>
      <c r="E226" s="17"/>
      <c r="F226" s="42"/>
    </row>
    <row r="227" customFormat="false" ht="15" hidden="false" customHeight="false" outlineLevel="0" collapsed="false">
      <c r="A227" s="42"/>
      <c r="B227" s="19"/>
      <c r="C227" s="42"/>
      <c r="D227" s="42"/>
      <c r="E227" s="17"/>
      <c r="F227" s="42"/>
    </row>
    <row r="228" customFormat="false" ht="15" hidden="false" customHeight="false" outlineLevel="0" collapsed="false">
      <c r="A228" s="42"/>
      <c r="B228" s="19"/>
      <c r="C228" s="42"/>
      <c r="D228" s="42"/>
      <c r="E228" s="17"/>
      <c r="F228" s="42"/>
    </row>
    <row r="229" customFormat="false" ht="15" hidden="false" customHeight="false" outlineLevel="0" collapsed="false">
      <c r="A229" s="42"/>
      <c r="B229" s="19"/>
      <c r="C229" s="42"/>
      <c r="D229" s="42"/>
      <c r="E229" s="17"/>
      <c r="F229" s="42"/>
    </row>
    <row r="230" customFormat="false" ht="15" hidden="false" customHeight="false" outlineLevel="0" collapsed="false">
      <c r="A230" s="42"/>
      <c r="B230" s="19"/>
      <c r="C230" s="42"/>
      <c r="D230" s="42"/>
      <c r="E230" s="17"/>
      <c r="F230" s="42"/>
    </row>
    <row r="231" customFormat="false" ht="15" hidden="false" customHeight="false" outlineLevel="0" collapsed="false">
      <c r="A231" s="42"/>
      <c r="B231" s="19"/>
      <c r="C231" s="42"/>
      <c r="D231" s="42"/>
      <c r="E231" s="17"/>
      <c r="F231" s="42"/>
    </row>
    <row r="232" customFormat="false" ht="15" hidden="false" customHeight="false" outlineLevel="0" collapsed="false">
      <c r="A232" s="42"/>
      <c r="B232" s="19"/>
      <c r="C232" s="42"/>
      <c r="D232" s="42"/>
      <c r="E232" s="17"/>
      <c r="F232" s="42"/>
    </row>
    <row r="233" customFormat="false" ht="15" hidden="false" customHeight="false" outlineLevel="0" collapsed="false">
      <c r="A233" s="42"/>
      <c r="B233" s="19"/>
      <c r="C233" s="42"/>
      <c r="D233" s="42"/>
      <c r="E233" s="17"/>
      <c r="F233" s="42"/>
    </row>
    <row r="234" customFormat="false" ht="15" hidden="false" customHeight="false" outlineLevel="0" collapsed="false">
      <c r="A234" s="42"/>
      <c r="B234" s="19"/>
      <c r="C234" s="42"/>
      <c r="D234" s="42"/>
      <c r="E234" s="17"/>
      <c r="F234" s="42"/>
    </row>
    <row r="235" customFormat="false" ht="15" hidden="false" customHeight="false" outlineLevel="0" collapsed="false">
      <c r="A235" s="42"/>
      <c r="B235" s="19"/>
      <c r="C235" s="42"/>
      <c r="D235" s="42"/>
      <c r="E235" s="17"/>
      <c r="F235" s="42"/>
    </row>
    <row r="236" customFormat="false" ht="15" hidden="false" customHeight="false" outlineLevel="0" collapsed="false">
      <c r="A236" s="42"/>
      <c r="B236" s="19"/>
      <c r="C236" s="42"/>
      <c r="D236" s="42"/>
      <c r="E236" s="17"/>
      <c r="F236" s="42"/>
    </row>
    <row r="237" customFormat="false" ht="15" hidden="false" customHeight="false" outlineLevel="0" collapsed="false">
      <c r="A237" s="42"/>
      <c r="B237" s="19"/>
      <c r="C237" s="42"/>
      <c r="D237" s="42"/>
      <c r="E237" s="17"/>
      <c r="F237" s="42"/>
    </row>
    <row r="238" customFormat="false" ht="15" hidden="false" customHeight="false" outlineLevel="0" collapsed="false">
      <c r="A238" s="42"/>
      <c r="B238" s="19"/>
      <c r="C238" s="42"/>
      <c r="D238" s="42"/>
      <c r="E238" s="17"/>
      <c r="F238" s="42"/>
    </row>
    <row r="239" customFormat="false" ht="15" hidden="false" customHeight="false" outlineLevel="0" collapsed="false">
      <c r="A239" s="42"/>
      <c r="B239" s="19"/>
      <c r="C239" s="42"/>
      <c r="D239" s="42"/>
      <c r="E239" s="17"/>
      <c r="F239" s="42"/>
    </row>
    <row r="240" customFormat="false" ht="15" hidden="false" customHeight="false" outlineLevel="0" collapsed="false">
      <c r="A240" s="42"/>
      <c r="B240" s="19"/>
      <c r="C240" s="42"/>
      <c r="D240" s="42"/>
      <c r="E240" s="17"/>
      <c r="F240" s="42"/>
    </row>
    <row r="241" customFormat="false" ht="15" hidden="false" customHeight="false" outlineLevel="0" collapsed="false">
      <c r="A241" s="42"/>
      <c r="B241" s="19"/>
      <c r="C241" s="42"/>
      <c r="D241" s="42"/>
      <c r="E241" s="17"/>
      <c r="F241" s="42"/>
    </row>
    <row r="242" customFormat="false" ht="15" hidden="false" customHeight="false" outlineLevel="0" collapsed="false">
      <c r="A242" s="42"/>
      <c r="B242" s="19"/>
      <c r="C242" s="42"/>
      <c r="D242" s="42"/>
      <c r="E242" s="17"/>
      <c r="F242" s="42"/>
    </row>
    <row r="243" customFormat="false" ht="15" hidden="false" customHeight="false" outlineLevel="0" collapsed="false">
      <c r="A243" s="42"/>
      <c r="B243" s="19"/>
      <c r="C243" s="42"/>
      <c r="D243" s="42"/>
      <c r="E243" s="17"/>
      <c r="F243" s="42"/>
    </row>
    <row r="244" customFormat="false" ht="15" hidden="false" customHeight="false" outlineLevel="0" collapsed="false">
      <c r="A244" s="42"/>
      <c r="B244" s="19"/>
      <c r="C244" s="42"/>
      <c r="D244" s="42"/>
      <c r="E244" s="17"/>
      <c r="F244" s="42"/>
    </row>
    <row r="245" customFormat="false" ht="15" hidden="false" customHeight="false" outlineLevel="0" collapsed="false">
      <c r="A245" s="42"/>
      <c r="B245" s="19"/>
      <c r="C245" s="42"/>
      <c r="D245" s="42"/>
      <c r="E245" s="17"/>
      <c r="F245" s="42"/>
    </row>
    <row r="246" customFormat="false" ht="15" hidden="false" customHeight="false" outlineLevel="0" collapsed="false">
      <c r="A246" s="42"/>
      <c r="B246" s="19"/>
      <c r="C246" s="42"/>
      <c r="D246" s="42"/>
      <c r="E246" s="17"/>
      <c r="F246" s="42"/>
    </row>
    <row r="247" customFormat="false" ht="15" hidden="false" customHeight="false" outlineLevel="0" collapsed="false">
      <c r="A247" s="42"/>
      <c r="B247" s="19"/>
      <c r="C247" s="42"/>
      <c r="D247" s="42"/>
      <c r="E247" s="17"/>
      <c r="F247" s="42"/>
    </row>
    <row r="248" customFormat="false" ht="15" hidden="false" customHeight="false" outlineLevel="0" collapsed="false">
      <c r="A248" s="42"/>
      <c r="B248" s="19"/>
      <c r="C248" s="42"/>
      <c r="D248" s="42"/>
      <c r="E248" s="17"/>
      <c r="F248" s="42"/>
    </row>
    <row r="249" customFormat="false" ht="15" hidden="false" customHeight="false" outlineLevel="0" collapsed="false">
      <c r="A249" s="42"/>
      <c r="B249" s="19"/>
      <c r="C249" s="42"/>
      <c r="D249" s="42"/>
      <c r="E249" s="17"/>
      <c r="F249" s="42"/>
    </row>
    <row r="250" customFormat="false" ht="15" hidden="false" customHeight="false" outlineLevel="0" collapsed="false">
      <c r="A250" s="42"/>
      <c r="B250" s="19"/>
      <c r="C250" s="42"/>
      <c r="D250" s="42"/>
      <c r="E250" s="17"/>
      <c r="F250" s="42"/>
    </row>
    <row r="251" customFormat="false" ht="15" hidden="false" customHeight="false" outlineLevel="0" collapsed="false">
      <c r="A251" s="42"/>
      <c r="B251" s="19"/>
      <c r="C251" s="42"/>
      <c r="D251" s="42"/>
      <c r="E251" s="17"/>
      <c r="F251" s="42"/>
    </row>
    <row r="252" customFormat="false" ht="15" hidden="false" customHeight="false" outlineLevel="0" collapsed="false">
      <c r="A252" s="42"/>
      <c r="B252" s="19"/>
      <c r="C252" s="42"/>
      <c r="D252" s="42"/>
      <c r="E252" s="17"/>
      <c r="F252" s="42"/>
    </row>
    <row r="253" customFormat="false" ht="15" hidden="false" customHeight="false" outlineLevel="0" collapsed="false">
      <c r="A253" s="42"/>
      <c r="B253" s="19"/>
      <c r="C253" s="42"/>
      <c r="D253" s="42"/>
      <c r="E253" s="17"/>
      <c r="F253" s="42"/>
    </row>
    <row r="254" customFormat="false" ht="15" hidden="false" customHeight="false" outlineLevel="0" collapsed="false">
      <c r="A254" s="42"/>
      <c r="B254" s="19"/>
      <c r="C254" s="42"/>
      <c r="D254" s="42"/>
      <c r="E254" s="17"/>
      <c r="F254" s="42"/>
    </row>
    <row r="255" customFormat="false" ht="15" hidden="false" customHeight="false" outlineLevel="0" collapsed="false">
      <c r="A255" s="42"/>
      <c r="B255" s="19"/>
      <c r="C255" s="42"/>
      <c r="D255" s="42"/>
      <c r="E255" s="17"/>
      <c r="F255" s="42"/>
    </row>
    <row r="256" customFormat="false" ht="15" hidden="false" customHeight="false" outlineLevel="0" collapsed="false">
      <c r="A256" s="42"/>
      <c r="B256" s="19"/>
      <c r="C256" s="42"/>
      <c r="D256" s="42"/>
      <c r="E256" s="17"/>
      <c r="F256" s="42"/>
    </row>
    <row r="257" customFormat="false" ht="15" hidden="false" customHeight="false" outlineLevel="0" collapsed="false">
      <c r="A257" s="42"/>
      <c r="B257" s="19"/>
      <c r="C257" s="42"/>
      <c r="D257" s="42"/>
      <c r="E257" s="17"/>
      <c r="F257" s="42"/>
    </row>
    <row r="258" customFormat="false" ht="15" hidden="false" customHeight="false" outlineLevel="0" collapsed="false">
      <c r="A258" s="42"/>
      <c r="B258" s="19"/>
      <c r="C258" s="42"/>
      <c r="D258" s="42"/>
      <c r="E258" s="17"/>
      <c r="F258" s="42"/>
    </row>
    <row r="259" customFormat="false" ht="15" hidden="false" customHeight="false" outlineLevel="0" collapsed="false">
      <c r="A259" s="42"/>
      <c r="B259" s="19"/>
      <c r="C259" s="42"/>
      <c r="D259" s="42"/>
      <c r="E259" s="17"/>
      <c r="F259" s="42"/>
    </row>
    <row r="260" customFormat="false" ht="15" hidden="false" customHeight="false" outlineLevel="0" collapsed="false">
      <c r="A260" s="42"/>
      <c r="B260" s="19"/>
      <c r="C260" s="42"/>
      <c r="D260" s="42"/>
      <c r="E260" s="17"/>
      <c r="F260" s="42"/>
    </row>
    <row r="261" customFormat="false" ht="15" hidden="false" customHeight="false" outlineLevel="0" collapsed="false">
      <c r="A261" s="42"/>
      <c r="B261" s="19"/>
      <c r="C261" s="42"/>
      <c r="D261" s="42"/>
      <c r="E261" s="17"/>
      <c r="F261" s="42"/>
    </row>
    <row r="262" customFormat="false" ht="15" hidden="false" customHeight="false" outlineLevel="0" collapsed="false">
      <c r="A262" s="42"/>
      <c r="B262" s="19"/>
      <c r="C262" s="42"/>
      <c r="D262" s="42"/>
      <c r="E262" s="17"/>
      <c r="F262" s="42"/>
    </row>
    <row r="263" customFormat="false" ht="15" hidden="false" customHeight="false" outlineLevel="0" collapsed="false">
      <c r="A263" s="42"/>
      <c r="B263" s="19"/>
      <c r="C263" s="42"/>
      <c r="D263" s="42"/>
      <c r="E263" s="17"/>
      <c r="F263" s="42"/>
    </row>
    <row r="264" customFormat="false" ht="15" hidden="false" customHeight="false" outlineLevel="0" collapsed="false">
      <c r="A264" s="42"/>
      <c r="B264" s="19"/>
      <c r="C264" s="42"/>
      <c r="D264" s="42"/>
      <c r="E264" s="17"/>
      <c r="F264" s="42"/>
    </row>
    <row r="265" customFormat="false" ht="15" hidden="false" customHeight="false" outlineLevel="0" collapsed="false">
      <c r="A265" s="42"/>
      <c r="B265" s="19"/>
      <c r="C265" s="42"/>
      <c r="D265" s="42"/>
      <c r="E265" s="17"/>
      <c r="F265" s="42"/>
    </row>
    <row r="266" customFormat="false" ht="15" hidden="false" customHeight="false" outlineLevel="0" collapsed="false">
      <c r="A266" s="42"/>
      <c r="B266" s="19"/>
      <c r="C266" s="42"/>
      <c r="D266" s="42"/>
      <c r="E266" s="17"/>
      <c r="F266" s="42"/>
    </row>
    <row r="267" customFormat="false" ht="15" hidden="false" customHeight="false" outlineLevel="0" collapsed="false">
      <c r="A267" s="42"/>
      <c r="B267" s="19"/>
      <c r="C267" s="42"/>
      <c r="D267" s="42"/>
      <c r="E267" s="17"/>
      <c r="F267" s="42"/>
    </row>
    <row r="268" customFormat="false" ht="15" hidden="false" customHeight="false" outlineLevel="0" collapsed="false">
      <c r="A268" s="42"/>
      <c r="B268" s="19"/>
      <c r="C268" s="42"/>
      <c r="D268" s="42"/>
      <c r="E268" s="17"/>
      <c r="F268" s="42"/>
    </row>
    <row r="269" customFormat="false" ht="15" hidden="false" customHeight="false" outlineLevel="0" collapsed="false">
      <c r="A269" s="42"/>
      <c r="B269" s="19"/>
      <c r="C269" s="42"/>
      <c r="D269" s="42"/>
      <c r="E269" s="17"/>
      <c r="F269" s="42"/>
    </row>
    <row r="270" customFormat="false" ht="15" hidden="false" customHeight="false" outlineLevel="0" collapsed="false">
      <c r="A270" s="42"/>
      <c r="B270" s="19"/>
      <c r="C270" s="42"/>
      <c r="D270" s="42"/>
      <c r="E270" s="17"/>
      <c r="F270" s="42"/>
    </row>
    <row r="271" customFormat="false" ht="15" hidden="false" customHeight="false" outlineLevel="0" collapsed="false">
      <c r="A271" s="42"/>
      <c r="B271" s="19"/>
      <c r="C271" s="42"/>
      <c r="D271" s="42"/>
      <c r="E271" s="17"/>
      <c r="F271" s="42"/>
    </row>
    <row r="272" customFormat="false" ht="15" hidden="false" customHeight="false" outlineLevel="0" collapsed="false">
      <c r="A272" s="42"/>
      <c r="B272" s="19"/>
      <c r="C272" s="42"/>
      <c r="D272" s="42"/>
      <c r="E272" s="17"/>
      <c r="F272" s="42"/>
    </row>
    <row r="273" customFormat="false" ht="15" hidden="false" customHeight="false" outlineLevel="0" collapsed="false">
      <c r="A273" s="42"/>
      <c r="B273" s="19"/>
      <c r="C273" s="42"/>
      <c r="D273" s="42"/>
      <c r="E273" s="17"/>
      <c r="F273" s="42"/>
    </row>
    <row r="274" customFormat="false" ht="15" hidden="false" customHeight="false" outlineLevel="0" collapsed="false">
      <c r="A274" s="42"/>
      <c r="B274" s="19"/>
      <c r="C274" s="42"/>
      <c r="D274" s="42"/>
      <c r="E274" s="17"/>
      <c r="F274" s="42"/>
    </row>
    <row r="275" customFormat="false" ht="15" hidden="false" customHeight="false" outlineLevel="0" collapsed="false">
      <c r="A275" s="42"/>
      <c r="B275" s="19"/>
      <c r="C275" s="42"/>
      <c r="D275" s="42"/>
      <c r="E275" s="17"/>
      <c r="F275" s="42"/>
    </row>
    <row r="276" customFormat="false" ht="15" hidden="false" customHeight="false" outlineLevel="0" collapsed="false">
      <c r="A276" s="42"/>
      <c r="B276" s="19"/>
      <c r="C276" s="42"/>
      <c r="D276" s="42"/>
      <c r="E276" s="17"/>
      <c r="F276" s="42"/>
    </row>
    <row r="277" customFormat="false" ht="15" hidden="false" customHeight="false" outlineLevel="0" collapsed="false">
      <c r="A277" s="42"/>
      <c r="B277" s="19"/>
      <c r="C277" s="42"/>
      <c r="D277" s="42"/>
      <c r="E277" s="17"/>
      <c r="F277" s="42"/>
    </row>
    <row r="278" customFormat="false" ht="15" hidden="false" customHeight="false" outlineLevel="0" collapsed="false">
      <c r="A278" s="42"/>
      <c r="B278" s="19"/>
      <c r="C278" s="42"/>
      <c r="D278" s="42"/>
      <c r="E278" s="17"/>
      <c r="F278" s="42"/>
    </row>
    <row r="279" customFormat="false" ht="15" hidden="false" customHeight="false" outlineLevel="0" collapsed="false">
      <c r="A279" s="42"/>
      <c r="B279" s="19"/>
      <c r="C279" s="42"/>
      <c r="D279" s="42"/>
      <c r="E279" s="17"/>
      <c r="F279" s="42"/>
    </row>
    <row r="280" customFormat="false" ht="15" hidden="false" customHeight="false" outlineLevel="0" collapsed="false">
      <c r="A280" s="42"/>
      <c r="B280" s="19"/>
      <c r="C280" s="42"/>
      <c r="D280" s="42"/>
      <c r="E280" s="17"/>
      <c r="F280" s="42"/>
    </row>
    <row r="281" customFormat="false" ht="15" hidden="false" customHeight="false" outlineLevel="0" collapsed="false">
      <c r="A281" s="42"/>
      <c r="B281" s="19"/>
      <c r="C281" s="42"/>
      <c r="D281" s="42"/>
      <c r="E281" s="17"/>
      <c r="F281" s="42"/>
    </row>
    <row r="282" customFormat="false" ht="15" hidden="false" customHeight="false" outlineLevel="0" collapsed="false">
      <c r="A282" s="42"/>
      <c r="B282" s="19"/>
      <c r="C282" s="42"/>
      <c r="D282" s="42"/>
      <c r="E282" s="17"/>
      <c r="F282" s="42"/>
    </row>
    <row r="283" customFormat="false" ht="15" hidden="false" customHeight="false" outlineLevel="0" collapsed="false">
      <c r="A283" s="42"/>
      <c r="B283" s="19"/>
      <c r="C283" s="42"/>
      <c r="D283" s="42"/>
      <c r="E283" s="17"/>
      <c r="F283" s="42"/>
    </row>
    <row r="284" customFormat="false" ht="15" hidden="false" customHeight="false" outlineLevel="0" collapsed="false">
      <c r="A284" s="42"/>
      <c r="B284" s="19"/>
      <c r="C284" s="42"/>
      <c r="D284" s="42"/>
      <c r="E284" s="17"/>
      <c r="F284" s="42"/>
    </row>
    <row r="285" customFormat="false" ht="15" hidden="false" customHeight="false" outlineLevel="0" collapsed="false">
      <c r="A285" s="42"/>
      <c r="B285" s="19"/>
      <c r="C285" s="42"/>
      <c r="D285" s="42"/>
      <c r="E285" s="17"/>
      <c r="F285" s="42"/>
    </row>
    <row r="286" customFormat="false" ht="15" hidden="false" customHeight="false" outlineLevel="0" collapsed="false">
      <c r="A286" s="42"/>
      <c r="B286" s="19"/>
      <c r="C286" s="42"/>
      <c r="D286" s="42"/>
      <c r="E286" s="17"/>
      <c r="F286" s="42"/>
    </row>
    <row r="287" customFormat="false" ht="15" hidden="false" customHeight="false" outlineLevel="0" collapsed="false">
      <c r="A287" s="42"/>
      <c r="B287" s="19"/>
      <c r="C287" s="42"/>
      <c r="D287" s="42"/>
      <c r="E287" s="17"/>
      <c r="F287" s="42"/>
    </row>
    <row r="288" customFormat="false" ht="15" hidden="false" customHeight="false" outlineLevel="0" collapsed="false">
      <c r="A288" s="42"/>
      <c r="B288" s="19"/>
      <c r="C288" s="42"/>
      <c r="D288" s="42"/>
      <c r="E288" s="17"/>
      <c r="F288" s="42"/>
    </row>
    <row r="289" customFormat="false" ht="15" hidden="false" customHeight="false" outlineLevel="0" collapsed="false">
      <c r="A289" s="42"/>
      <c r="B289" s="19"/>
      <c r="C289" s="42"/>
      <c r="D289" s="42"/>
      <c r="E289" s="17"/>
      <c r="F289" s="42"/>
    </row>
    <row r="290" customFormat="false" ht="15" hidden="false" customHeight="false" outlineLevel="0" collapsed="false">
      <c r="A290" s="42"/>
      <c r="B290" s="19"/>
      <c r="C290" s="42"/>
      <c r="D290" s="42"/>
      <c r="E290" s="17"/>
      <c r="F290" s="42"/>
    </row>
    <row r="291" customFormat="false" ht="15" hidden="false" customHeight="false" outlineLevel="0" collapsed="false">
      <c r="A291" s="42"/>
      <c r="B291" s="19"/>
      <c r="C291" s="42"/>
      <c r="D291" s="42"/>
      <c r="E291" s="17"/>
      <c r="F291" s="42"/>
    </row>
    <row r="292" customFormat="false" ht="15" hidden="false" customHeight="false" outlineLevel="0" collapsed="false">
      <c r="A292" s="42"/>
      <c r="B292" s="19"/>
      <c r="C292" s="42"/>
      <c r="D292" s="42"/>
      <c r="E292" s="17"/>
      <c r="F292" s="42"/>
    </row>
    <row r="293" customFormat="false" ht="15" hidden="false" customHeight="false" outlineLevel="0" collapsed="false">
      <c r="A293" s="42"/>
      <c r="B293" s="19"/>
      <c r="C293" s="42"/>
      <c r="D293" s="42"/>
      <c r="E293" s="17"/>
      <c r="F293" s="42"/>
    </row>
    <row r="294" customFormat="false" ht="15" hidden="false" customHeight="false" outlineLevel="0" collapsed="false">
      <c r="A294" s="42"/>
      <c r="B294" s="19"/>
      <c r="C294" s="42"/>
      <c r="D294" s="42"/>
      <c r="E294" s="17"/>
      <c r="F294" s="42"/>
    </row>
    <row r="295" customFormat="false" ht="15" hidden="false" customHeight="false" outlineLevel="0" collapsed="false">
      <c r="A295" s="42"/>
      <c r="B295" s="19"/>
      <c r="C295" s="42"/>
      <c r="D295" s="42"/>
      <c r="E295" s="17"/>
      <c r="F295" s="42"/>
    </row>
    <row r="296" customFormat="false" ht="15" hidden="false" customHeight="false" outlineLevel="0" collapsed="false">
      <c r="A296" s="42"/>
      <c r="B296" s="19"/>
      <c r="C296" s="42"/>
      <c r="D296" s="42"/>
      <c r="E296" s="17"/>
      <c r="F296" s="42"/>
    </row>
    <row r="297" customFormat="false" ht="15" hidden="false" customHeight="false" outlineLevel="0" collapsed="false">
      <c r="A297" s="42"/>
      <c r="B297" s="19"/>
      <c r="C297" s="42"/>
      <c r="D297" s="42"/>
      <c r="E297" s="17"/>
      <c r="F297" s="42"/>
    </row>
    <row r="298" customFormat="false" ht="15" hidden="false" customHeight="false" outlineLevel="0" collapsed="false">
      <c r="A298" s="42"/>
      <c r="B298" s="19"/>
      <c r="C298" s="42"/>
      <c r="D298" s="42"/>
      <c r="E298" s="17"/>
      <c r="F298" s="42"/>
    </row>
    <row r="299" customFormat="false" ht="15" hidden="false" customHeight="false" outlineLevel="0" collapsed="false">
      <c r="A299" s="42"/>
      <c r="B299" s="19"/>
      <c r="C299" s="42"/>
      <c r="D299" s="42"/>
      <c r="E299" s="17"/>
      <c r="F299" s="42"/>
    </row>
    <row r="300" customFormat="false" ht="15" hidden="false" customHeight="false" outlineLevel="0" collapsed="false">
      <c r="A300" s="42"/>
      <c r="B300" s="19"/>
      <c r="C300" s="42"/>
      <c r="D300" s="42"/>
      <c r="E300" s="17"/>
      <c r="F300" s="42"/>
    </row>
    <row r="301" customFormat="false" ht="15" hidden="false" customHeight="false" outlineLevel="0" collapsed="false">
      <c r="A301" s="42"/>
      <c r="B301" s="19"/>
      <c r="C301" s="42"/>
      <c r="D301" s="42"/>
      <c r="E301" s="17"/>
      <c r="F301" s="42"/>
    </row>
    <row r="302" customFormat="false" ht="15" hidden="false" customHeight="false" outlineLevel="0" collapsed="false">
      <c r="A302" s="42"/>
      <c r="B302" s="19"/>
      <c r="C302" s="42"/>
      <c r="D302" s="42"/>
      <c r="E302" s="17"/>
      <c r="F302" s="42"/>
    </row>
    <row r="303" customFormat="false" ht="15" hidden="false" customHeight="false" outlineLevel="0" collapsed="false">
      <c r="A303" s="42"/>
      <c r="B303" s="19"/>
      <c r="C303" s="42"/>
      <c r="D303" s="42"/>
      <c r="E303" s="17"/>
      <c r="F303" s="42"/>
    </row>
    <row r="304" customFormat="false" ht="15" hidden="false" customHeight="false" outlineLevel="0" collapsed="false">
      <c r="A304" s="42"/>
      <c r="B304" s="19"/>
      <c r="C304" s="42"/>
      <c r="D304" s="42"/>
      <c r="E304" s="17"/>
      <c r="F304" s="42"/>
    </row>
    <row r="305" customFormat="false" ht="15" hidden="false" customHeight="false" outlineLevel="0" collapsed="false">
      <c r="A305" s="42"/>
      <c r="B305" s="19"/>
      <c r="C305" s="42"/>
      <c r="D305" s="42"/>
      <c r="E305" s="17"/>
      <c r="F305" s="42"/>
    </row>
    <row r="306" customFormat="false" ht="15" hidden="false" customHeight="false" outlineLevel="0" collapsed="false">
      <c r="A306" s="42"/>
      <c r="B306" s="19"/>
      <c r="C306" s="42"/>
      <c r="D306" s="42"/>
      <c r="E306" s="17"/>
      <c r="F306" s="42"/>
    </row>
    <row r="307" customFormat="false" ht="15" hidden="false" customHeight="false" outlineLevel="0" collapsed="false">
      <c r="A307" s="42"/>
      <c r="B307" s="19"/>
      <c r="C307" s="42"/>
      <c r="D307" s="42"/>
      <c r="E307" s="17"/>
      <c r="F307" s="42"/>
    </row>
    <row r="308" customFormat="false" ht="15" hidden="false" customHeight="false" outlineLevel="0" collapsed="false">
      <c r="A308" s="42"/>
      <c r="B308" s="19"/>
      <c r="C308" s="42"/>
      <c r="D308" s="42"/>
      <c r="E308" s="17"/>
      <c r="F308" s="42"/>
    </row>
    <row r="309" customFormat="false" ht="15" hidden="false" customHeight="false" outlineLevel="0" collapsed="false">
      <c r="A309" s="42"/>
      <c r="B309" s="19"/>
      <c r="C309" s="42"/>
      <c r="D309" s="42"/>
      <c r="E309" s="17"/>
      <c r="F309" s="42"/>
    </row>
    <row r="310" customFormat="false" ht="15" hidden="false" customHeight="false" outlineLevel="0" collapsed="false">
      <c r="A310" s="42"/>
      <c r="B310" s="19"/>
      <c r="C310" s="42"/>
      <c r="D310" s="42"/>
      <c r="E310" s="17"/>
      <c r="F310" s="42"/>
    </row>
    <row r="311" customFormat="false" ht="15" hidden="false" customHeight="false" outlineLevel="0" collapsed="false">
      <c r="A311" s="42"/>
      <c r="B311" s="19"/>
      <c r="C311" s="42"/>
      <c r="D311" s="42"/>
      <c r="E311" s="17"/>
      <c r="F311" s="42"/>
    </row>
    <row r="312" customFormat="false" ht="15" hidden="false" customHeight="false" outlineLevel="0" collapsed="false">
      <c r="A312" s="42"/>
      <c r="B312" s="19"/>
      <c r="C312" s="42"/>
      <c r="D312" s="42"/>
      <c r="E312" s="17"/>
      <c r="F312" s="42"/>
    </row>
    <row r="313" customFormat="false" ht="15" hidden="false" customHeight="false" outlineLevel="0" collapsed="false">
      <c r="A313" s="42"/>
      <c r="B313" s="19"/>
      <c r="C313" s="42"/>
      <c r="D313" s="42"/>
      <c r="E313" s="17"/>
      <c r="F313" s="42"/>
    </row>
    <row r="314" customFormat="false" ht="15" hidden="false" customHeight="false" outlineLevel="0" collapsed="false">
      <c r="A314" s="42"/>
      <c r="B314" s="19"/>
      <c r="C314" s="42"/>
      <c r="D314" s="42"/>
      <c r="E314" s="17"/>
      <c r="F314" s="42"/>
    </row>
    <row r="315" customFormat="false" ht="15" hidden="false" customHeight="false" outlineLevel="0" collapsed="false">
      <c r="A315" s="42"/>
      <c r="B315" s="19"/>
      <c r="C315" s="42"/>
      <c r="D315" s="42"/>
      <c r="E315" s="17"/>
      <c r="F315" s="42"/>
    </row>
    <row r="316" customFormat="false" ht="15" hidden="false" customHeight="false" outlineLevel="0" collapsed="false">
      <c r="A316" s="42"/>
      <c r="B316" s="19"/>
      <c r="C316" s="42"/>
      <c r="D316" s="42"/>
      <c r="E316" s="17"/>
      <c r="F316" s="42"/>
    </row>
    <row r="317" customFormat="false" ht="15" hidden="false" customHeight="false" outlineLevel="0" collapsed="false">
      <c r="A317" s="42"/>
      <c r="B317" s="19"/>
      <c r="C317" s="42"/>
      <c r="D317" s="42"/>
      <c r="E317" s="17"/>
      <c r="F317" s="42"/>
    </row>
    <row r="318" customFormat="false" ht="15" hidden="false" customHeight="false" outlineLevel="0" collapsed="false">
      <c r="A318" s="42"/>
      <c r="B318" s="19"/>
      <c r="C318" s="42"/>
      <c r="D318" s="42"/>
      <c r="E318" s="17"/>
      <c r="F318" s="42"/>
    </row>
    <row r="319" customFormat="false" ht="15" hidden="false" customHeight="false" outlineLevel="0" collapsed="false">
      <c r="A319" s="42"/>
      <c r="B319" s="19"/>
      <c r="C319" s="42"/>
      <c r="D319" s="42"/>
      <c r="E319" s="17"/>
      <c r="F319" s="42"/>
    </row>
    <row r="320" customFormat="false" ht="15" hidden="false" customHeight="false" outlineLevel="0" collapsed="false">
      <c r="A320" s="42"/>
      <c r="B320" s="19"/>
      <c r="C320" s="42"/>
      <c r="D320" s="42"/>
      <c r="E320" s="17"/>
      <c r="F320" s="42"/>
    </row>
    <row r="321" customFormat="false" ht="15" hidden="false" customHeight="false" outlineLevel="0" collapsed="false">
      <c r="A321" s="42"/>
      <c r="B321" s="19"/>
      <c r="C321" s="42"/>
      <c r="D321" s="42"/>
      <c r="E321" s="17"/>
      <c r="F321" s="42"/>
    </row>
    <row r="322" customFormat="false" ht="15" hidden="false" customHeight="false" outlineLevel="0" collapsed="false">
      <c r="A322" s="42"/>
      <c r="B322" s="19"/>
      <c r="C322" s="42"/>
      <c r="D322" s="42"/>
      <c r="E322" s="17"/>
      <c r="F322" s="42"/>
    </row>
    <row r="323" customFormat="false" ht="15" hidden="false" customHeight="false" outlineLevel="0" collapsed="false">
      <c r="A323" s="42"/>
      <c r="B323" s="19"/>
      <c r="C323" s="42"/>
      <c r="D323" s="42"/>
      <c r="E323" s="17"/>
      <c r="F323" s="42"/>
    </row>
    <row r="324" customFormat="false" ht="15" hidden="false" customHeight="false" outlineLevel="0" collapsed="false">
      <c r="A324" s="42"/>
      <c r="B324" s="19"/>
      <c r="C324" s="42"/>
      <c r="D324" s="42"/>
      <c r="E324" s="17"/>
      <c r="F324" s="42"/>
    </row>
    <row r="325" customFormat="false" ht="15" hidden="false" customHeight="false" outlineLevel="0" collapsed="false">
      <c r="A325" s="42"/>
      <c r="B325" s="19"/>
      <c r="C325" s="42"/>
      <c r="D325" s="42"/>
      <c r="E325" s="17"/>
      <c r="F325" s="42"/>
    </row>
    <row r="326" customFormat="false" ht="15" hidden="false" customHeight="false" outlineLevel="0" collapsed="false">
      <c r="A326" s="42"/>
      <c r="B326" s="19"/>
      <c r="C326" s="42"/>
      <c r="D326" s="42"/>
      <c r="E326" s="17"/>
      <c r="F326" s="42"/>
    </row>
    <row r="327" customFormat="false" ht="15" hidden="false" customHeight="false" outlineLevel="0" collapsed="false">
      <c r="A327" s="42"/>
      <c r="B327" s="19"/>
      <c r="C327" s="42"/>
      <c r="D327" s="42"/>
      <c r="E327" s="17"/>
      <c r="F327" s="42"/>
    </row>
    <row r="328" customFormat="false" ht="15" hidden="false" customHeight="false" outlineLevel="0" collapsed="false">
      <c r="A328" s="42"/>
      <c r="B328" s="19"/>
      <c r="C328" s="42"/>
      <c r="D328" s="42"/>
      <c r="E328" s="17"/>
      <c r="F328" s="42"/>
    </row>
    <row r="329" customFormat="false" ht="15" hidden="false" customHeight="false" outlineLevel="0" collapsed="false">
      <c r="A329" s="42"/>
      <c r="B329" s="19"/>
      <c r="C329" s="42"/>
      <c r="D329" s="42"/>
      <c r="E329" s="17"/>
      <c r="F329" s="42"/>
    </row>
    <row r="330" customFormat="false" ht="15" hidden="false" customHeight="false" outlineLevel="0" collapsed="false">
      <c r="A330" s="42"/>
      <c r="B330" s="19"/>
      <c r="C330" s="42"/>
      <c r="D330" s="42"/>
      <c r="E330" s="17"/>
      <c r="F330" s="42"/>
    </row>
    <row r="331" customFormat="false" ht="15" hidden="false" customHeight="false" outlineLevel="0" collapsed="false">
      <c r="A331" s="42"/>
      <c r="B331" s="19"/>
      <c r="C331" s="42"/>
      <c r="D331" s="42"/>
      <c r="E331" s="17"/>
      <c r="F331" s="42"/>
    </row>
    <row r="332" customFormat="false" ht="15" hidden="false" customHeight="false" outlineLevel="0" collapsed="false">
      <c r="A332" s="42"/>
      <c r="B332" s="19"/>
      <c r="C332" s="42"/>
      <c r="D332" s="42"/>
      <c r="E332" s="17"/>
      <c r="F332" s="42"/>
    </row>
    <row r="333" customFormat="false" ht="15" hidden="false" customHeight="false" outlineLevel="0" collapsed="false">
      <c r="A333" s="42"/>
      <c r="B333" s="19"/>
      <c r="C333" s="42"/>
      <c r="D333" s="42"/>
      <c r="E333" s="17"/>
      <c r="F333" s="42"/>
    </row>
    <row r="334" customFormat="false" ht="15" hidden="false" customHeight="false" outlineLevel="0" collapsed="false">
      <c r="A334" s="42"/>
      <c r="B334" s="19"/>
      <c r="C334" s="42"/>
      <c r="D334" s="42"/>
      <c r="E334" s="17"/>
      <c r="F334" s="42"/>
    </row>
    <row r="335" customFormat="false" ht="15" hidden="false" customHeight="false" outlineLevel="0" collapsed="false">
      <c r="A335" s="42"/>
      <c r="B335" s="19"/>
      <c r="C335" s="42"/>
      <c r="D335" s="42"/>
      <c r="E335" s="17"/>
      <c r="F335" s="42"/>
    </row>
    <row r="336" customFormat="false" ht="15" hidden="false" customHeight="false" outlineLevel="0" collapsed="false">
      <c r="A336" s="42"/>
      <c r="B336" s="19"/>
      <c r="C336" s="42"/>
      <c r="D336" s="42"/>
      <c r="E336" s="17"/>
      <c r="F336" s="42"/>
    </row>
    <row r="337" customFormat="false" ht="15" hidden="false" customHeight="false" outlineLevel="0" collapsed="false">
      <c r="A337" s="42"/>
      <c r="B337" s="19"/>
      <c r="C337" s="42"/>
      <c r="D337" s="42"/>
      <c r="E337" s="17"/>
      <c r="F337" s="42"/>
    </row>
    <row r="338" customFormat="false" ht="15" hidden="false" customHeight="false" outlineLevel="0" collapsed="false">
      <c r="A338" s="42"/>
      <c r="B338" s="19"/>
      <c r="C338" s="42"/>
      <c r="D338" s="42"/>
      <c r="E338" s="17"/>
      <c r="F338" s="42"/>
    </row>
    <row r="339" customFormat="false" ht="15" hidden="false" customHeight="false" outlineLevel="0" collapsed="false">
      <c r="A339" s="42"/>
      <c r="B339" s="19"/>
      <c r="C339" s="42"/>
      <c r="D339" s="42"/>
      <c r="E339" s="17"/>
      <c r="F339" s="42"/>
    </row>
    <row r="340" customFormat="false" ht="15" hidden="false" customHeight="false" outlineLevel="0" collapsed="false">
      <c r="A340" s="42"/>
      <c r="B340" s="19"/>
      <c r="C340" s="42"/>
      <c r="D340" s="42"/>
      <c r="E340" s="17"/>
      <c r="F340" s="42"/>
    </row>
    <row r="341" customFormat="false" ht="15" hidden="false" customHeight="false" outlineLevel="0" collapsed="false">
      <c r="A341" s="42"/>
      <c r="B341" s="19"/>
      <c r="C341" s="42"/>
      <c r="D341" s="42"/>
      <c r="E341" s="17"/>
      <c r="F341" s="42"/>
    </row>
    <row r="342" customFormat="false" ht="15" hidden="false" customHeight="false" outlineLevel="0" collapsed="false">
      <c r="A342" s="42"/>
      <c r="B342" s="19"/>
      <c r="C342" s="42"/>
      <c r="D342" s="42"/>
      <c r="E342" s="17"/>
      <c r="F342" s="42"/>
    </row>
    <row r="343" customFormat="false" ht="15" hidden="false" customHeight="false" outlineLevel="0" collapsed="false">
      <c r="A343" s="42"/>
      <c r="B343" s="19"/>
      <c r="C343" s="42"/>
      <c r="D343" s="42"/>
      <c r="E343" s="17"/>
      <c r="F343" s="42"/>
    </row>
    <row r="344" customFormat="false" ht="15" hidden="false" customHeight="false" outlineLevel="0" collapsed="false">
      <c r="A344" s="42"/>
      <c r="B344" s="19"/>
      <c r="C344" s="42"/>
      <c r="D344" s="42"/>
      <c r="E344" s="17"/>
      <c r="F344" s="42"/>
    </row>
    <row r="345" customFormat="false" ht="15" hidden="false" customHeight="false" outlineLevel="0" collapsed="false">
      <c r="A345" s="42"/>
      <c r="B345" s="19"/>
      <c r="C345" s="42"/>
      <c r="D345" s="42"/>
      <c r="E345" s="17"/>
      <c r="F345" s="42"/>
    </row>
    <row r="346" customFormat="false" ht="15" hidden="false" customHeight="false" outlineLevel="0" collapsed="false">
      <c r="A346" s="42"/>
      <c r="B346" s="19"/>
      <c r="C346" s="42"/>
      <c r="D346" s="42"/>
      <c r="E346" s="17"/>
      <c r="F346" s="42"/>
    </row>
    <row r="347" customFormat="false" ht="15" hidden="false" customHeight="false" outlineLevel="0" collapsed="false">
      <c r="A347" s="42"/>
      <c r="B347" s="19"/>
      <c r="C347" s="42"/>
      <c r="D347" s="42"/>
      <c r="E347" s="17"/>
      <c r="F347" s="42"/>
    </row>
    <row r="348" customFormat="false" ht="15" hidden="false" customHeight="false" outlineLevel="0" collapsed="false">
      <c r="A348" s="42"/>
      <c r="B348" s="19"/>
      <c r="C348" s="42"/>
      <c r="D348" s="42"/>
      <c r="E348" s="17"/>
      <c r="F348" s="42"/>
    </row>
    <row r="349" customFormat="false" ht="15" hidden="false" customHeight="false" outlineLevel="0" collapsed="false">
      <c r="A349" s="42"/>
      <c r="B349" s="19"/>
      <c r="C349" s="42"/>
      <c r="D349" s="42"/>
      <c r="E349" s="17"/>
      <c r="F349" s="42"/>
    </row>
    <row r="350" customFormat="false" ht="15" hidden="false" customHeight="false" outlineLevel="0" collapsed="false">
      <c r="A350" s="42"/>
      <c r="B350" s="19"/>
      <c r="C350" s="42"/>
      <c r="D350" s="42"/>
      <c r="E350" s="17"/>
      <c r="F350" s="42"/>
    </row>
    <row r="351" customFormat="false" ht="15" hidden="false" customHeight="false" outlineLevel="0" collapsed="false">
      <c r="A351" s="42"/>
      <c r="B351" s="19"/>
      <c r="C351" s="42"/>
      <c r="D351" s="42"/>
      <c r="E351" s="17"/>
      <c r="F351" s="42"/>
    </row>
    <row r="352" customFormat="false" ht="15" hidden="false" customHeight="false" outlineLevel="0" collapsed="false">
      <c r="A352" s="42"/>
      <c r="B352" s="19"/>
      <c r="C352" s="42"/>
      <c r="D352" s="42"/>
      <c r="E352" s="17"/>
      <c r="F352" s="42"/>
    </row>
    <row r="353" customFormat="false" ht="15" hidden="false" customHeight="false" outlineLevel="0" collapsed="false">
      <c r="A353" s="42"/>
      <c r="B353" s="19"/>
      <c r="C353" s="42"/>
      <c r="D353" s="42"/>
      <c r="E353" s="17"/>
      <c r="F353" s="42"/>
    </row>
    <row r="354" customFormat="false" ht="15" hidden="false" customHeight="false" outlineLevel="0" collapsed="false">
      <c r="A354" s="42"/>
      <c r="B354" s="19"/>
      <c r="C354" s="42"/>
      <c r="D354" s="42"/>
      <c r="E354" s="17"/>
      <c r="F354" s="42"/>
    </row>
    <row r="355" customFormat="false" ht="15" hidden="false" customHeight="false" outlineLevel="0" collapsed="false">
      <c r="A355" s="42"/>
      <c r="B355" s="19"/>
      <c r="C355" s="42"/>
      <c r="D355" s="42"/>
      <c r="E355" s="17"/>
      <c r="F355" s="42"/>
    </row>
    <row r="356" customFormat="false" ht="15" hidden="false" customHeight="false" outlineLevel="0" collapsed="false">
      <c r="A356" s="42"/>
      <c r="B356" s="19"/>
      <c r="C356" s="42"/>
      <c r="D356" s="42"/>
      <c r="E356" s="17"/>
      <c r="F356" s="42"/>
    </row>
    <row r="357" customFormat="false" ht="15" hidden="false" customHeight="false" outlineLevel="0" collapsed="false">
      <c r="A357" s="42"/>
      <c r="B357" s="19"/>
      <c r="C357" s="42"/>
      <c r="D357" s="42"/>
      <c r="E357" s="17"/>
      <c r="F357" s="42"/>
    </row>
    <row r="358" customFormat="false" ht="15" hidden="false" customHeight="false" outlineLevel="0" collapsed="false">
      <c r="A358" s="42"/>
      <c r="B358" s="19"/>
      <c r="C358" s="42"/>
      <c r="D358" s="42"/>
      <c r="E358" s="17"/>
      <c r="F358" s="42"/>
    </row>
    <row r="359" customFormat="false" ht="15" hidden="false" customHeight="false" outlineLevel="0" collapsed="false">
      <c r="A359" s="42"/>
      <c r="B359" s="19"/>
      <c r="C359" s="42"/>
      <c r="D359" s="42"/>
      <c r="E359" s="17"/>
      <c r="F359" s="42"/>
    </row>
    <row r="360" customFormat="false" ht="15" hidden="false" customHeight="false" outlineLevel="0" collapsed="false">
      <c r="A360" s="42"/>
      <c r="B360" s="19"/>
      <c r="C360" s="42"/>
      <c r="D360" s="42"/>
      <c r="E360" s="17"/>
      <c r="F360" s="42"/>
    </row>
    <row r="361" customFormat="false" ht="15" hidden="false" customHeight="false" outlineLevel="0" collapsed="false">
      <c r="A361" s="42"/>
      <c r="B361" s="19"/>
      <c r="C361" s="42"/>
      <c r="D361" s="42"/>
      <c r="E361" s="17"/>
      <c r="F361" s="42"/>
    </row>
    <row r="362" customFormat="false" ht="15" hidden="false" customHeight="false" outlineLevel="0" collapsed="false">
      <c r="A362" s="42"/>
      <c r="B362" s="19"/>
      <c r="C362" s="42"/>
      <c r="D362" s="42"/>
      <c r="E362" s="17"/>
      <c r="F362" s="42"/>
    </row>
    <row r="363" customFormat="false" ht="15" hidden="false" customHeight="false" outlineLevel="0" collapsed="false">
      <c r="A363" s="42"/>
      <c r="B363" s="19"/>
      <c r="C363" s="42"/>
      <c r="D363" s="42"/>
      <c r="E363" s="17"/>
      <c r="F363" s="42"/>
    </row>
    <row r="364" customFormat="false" ht="15" hidden="false" customHeight="false" outlineLevel="0" collapsed="false">
      <c r="A364" s="42"/>
      <c r="B364" s="19"/>
      <c r="C364" s="42"/>
      <c r="D364" s="42"/>
      <c r="E364" s="17"/>
      <c r="F364" s="42"/>
    </row>
    <row r="365" customFormat="false" ht="15" hidden="false" customHeight="false" outlineLevel="0" collapsed="false">
      <c r="A365" s="42"/>
      <c r="B365" s="19"/>
      <c r="C365" s="42"/>
      <c r="D365" s="42"/>
      <c r="E365" s="17"/>
      <c r="F365" s="42"/>
    </row>
    <row r="366" customFormat="false" ht="15" hidden="false" customHeight="false" outlineLevel="0" collapsed="false">
      <c r="A366" s="42"/>
      <c r="B366" s="19"/>
      <c r="C366" s="42"/>
      <c r="D366" s="42"/>
      <c r="E366" s="17"/>
      <c r="F366" s="42"/>
    </row>
    <row r="367" customFormat="false" ht="15" hidden="false" customHeight="false" outlineLevel="0" collapsed="false">
      <c r="A367" s="42"/>
      <c r="B367" s="19"/>
      <c r="C367" s="42"/>
      <c r="D367" s="42"/>
      <c r="E367" s="17"/>
      <c r="F367" s="42"/>
    </row>
    <row r="368" customFormat="false" ht="15" hidden="false" customHeight="false" outlineLevel="0" collapsed="false">
      <c r="A368" s="42"/>
      <c r="B368" s="19"/>
      <c r="C368" s="42"/>
      <c r="D368" s="42"/>
      <c r="E368" s="17"/>
      <c r="F368" s="42"/>
    </row>
    <row r="369" customFormat="false" ht="15" hidden="false" customHeight="false" outlineLevel="0" collapsed="false">
      <c r="A369" s="42"/>
      <c r="B369" s="19"/>
      <c r="C369" s="42"/>
      <c r="D369" s="42"/>
      <c r="E369" s="17"/>
      <c r="F369" s="42"/>
    </row>
    <row r="370" customFormat="false" ht="15" hidden="false" customHeight="false" outlineLevel="0" collapsed="false">
      <c r="A370" s="42"/>
      <c r="B370" s="19"/>
      <c r="C370" s="42"/>
      <c r="D370" s="42"/>
      <c r="E370" s="17"/>
      <c r="F370" s="42"/>
    </row>
    <row r="371" customFormat="false" ht="15" hidden="false" customHeight="false" outlineLevel="0" collapsed="false">
      <c r="A371" s="42"/>
      <c r="B371" s="19"/>
      <c r="C371" s="42"/>
      <c r="D371" s="42"/>
      <c r="E371" s="17"/>
      <c r="F371" s="42"/>
    </row>
    <row r="372" customFormat="false" ht="15" hidden="false" customHeight="false" outlineLevel="0" collapsed="false">
      <c r="A372" s="42"/>
      <c r="B372" s="19"/>
      <c r="C372" s="42"/>
      <c r="D372" s="42"/>
      <c r="E372" s="17"/>
      <c r="F372" s="42"/>
    </row>
    <row r="373" customFormat="false" ht="15" hidden="false" customHeight="false" outlineLevel="0" collapsed="false">
      <c r="A373" s="42"/>
      <c r="B373" s="19"/>
      <c r="C373" s="42"/>
      <c r="D373" s="42"/>
      <c r="E373" s="17"/>
      <c r="F373" s="42"/>
    </row>
    <row r="374" customFormat="false" ht="15" hidden="false" customHeight="false" outlineLevel="0" collapsed="false">
      <c r="A374" s="42"/>
      <c r="B374" s="19"/>
      <c r="C374" s="42"/>
      <c r="D374" s="42"/>
      <c r="E374" s="17"/>
      <c r="F374" s="42"/>
    </row>
    <row r="375" customFormat="false" ht="15" hidden="false" customHeight="false" outlineLevel="0" collapsed="false">
      <c r="A375" s="42"/>
      <c r="B375" s="19"/>
      <c r="C375" s="42"/>
      <c r="D375" s="42"/>
      <c r="E375" s="17"/>
      <c r="F375" s="42"/>
    </row>
    <row r="376" customFormat="false" ht="15" hidden="false" customHeight="false" outlineLevel="0" collapsed="false">
      <c r="A376" s="42"/>
      <c r="B376" s="19"/>
      <c r="C376" s="42"/>
      <c r="D376" s="42"/>
      <c r="E376" s="17"/>
      <c r="F376" s="42"/>
    </row>
    <row r="377" customFormat="false" ht="15" hidden="false" customHeight="false" outlineLevel="0" collapsed="false">
      <c r="A377" s="42"/>
      <c r="B377" s="19"/>
      <c r="C377" s="42"/>
      <c r="D377" s="42"/>
      <c r="E377" s="17"/>
      <c r="F377" s="42"/>
    </row>
    <row r="378" customFormat="false" ht="15" hidden="false" customHeight="false" outlineLevel="0" collapsed="false">
      <c r="A378" s="42"/>
      <c r="B378" s="19"/>
      <c r="C378" s="42"/>
      <c r="D378" s="42"/>
      <c r="E378" s="17"/>
      <c r="F378" s="42"/>
    </row>
    <row r="379" customFormat="false" ht="15" hidden="false" customHeight="false" outlineLevel="0" collapsed="false">
      <c r="A379" s="42"/>
      <c r="B379" s="19"/>
      <c r="C379" s="42"/>
      <c r="D379" s="42"/>
      <c r="E379" s="17"/>
      <c r="F379" s="42"/>
    </row>
    <row r="380" customFormat="false" ht="15" hidden="false" customHeight="false" outlineLevel="0" collapsed="false">
      <c r="A380" s="42"/>
      <c r="B380" s="19"/>
      <c r="C380" s="42"/>
      <c r="D380" s="42"/>
      <c r="E380" s="17"/>
      <c r="F380" s="42"/>
    </row>
    <row r="381" customFormat="false" ht="15" hidden="false" customHeight="false" outlineLevel="0" collapsed="false">
      <c r="A381" s="42"/>
      <c r="B381" s="19"/>
      <c r="C381" s="42"/>
      <c r="D381" s="42"/>
      <c r="E381" s="17"/>
      <c r="F381" s="42"/>
    </row>
    <row r="382" customFormat="false" ht="15" hidden="false" customHeight="false" outlineLevel="0" collapsed="false">
      <c r="A382" s="42"/>
      <c r="B382" s="19"/>
      <c r="C382" s="42"/>
      <c r="D382" s="42"/>
      <c r="E382" s="17"/>
      <c r="F382" s="42"/>
    </row>
    <row r="383" customFormat="false" ht="15" hidden="false" customHeight="false" outlineLevel="0" collapsed="false">
      <c r="A383" s="42"/>
      <c r="B383" s="19"/>
      <c r="C383" s="42"/>
      <c r="D383" s="42"/>
      <c r="E383" s="17"/>
      <c r="F383" s="42"/>
    </row>
    <row r="384" customFormat="false" ht="15" hidden="false" customHeight="false" outlineLevel="0" collapsed="false">
      <c r="A384" s="42"/>
      <c r="B384" s="19"/>
      <c r="C384" s="42"/>
      <c r="D384" s="42"/>
      <c r="E384" s="17"/>
      <c r="F384" s="42"/>
    </row>
    <row r="385" customFormat="false" ht="15" hidden="false" customHeight="false" outlineLevel="0" collapsed="false">
      <c r="A385" s="42"/>
      <c r="B385" s="19"/>
      <c r="C385" s="42"/>
      <c r="D385" s="42"/>
      <c r="E385" s="17"/>
      <c r="F385" s="42"/>
    </row>
    <row r="386" customFormat="false" ht="15" hidden="false" customHeight="false" outlineLevel="0" collapsed="false">
      <c r="A386" s="42"/>
      <c r="B386" s="19"/>
      <c r="C386" s="42"/>
      <c r="D386" s="42"/>
      <c r="E386" s="17"/>
      <c r="F386" s="42"/>
    </row>
    <row r="387" customFormat="false" ht="15" hidden="false" customHeight="false" outlineLevel="0" collapsed="false">
      <c r="A387" s="42"/>
      <c r="B387" s="19"/>
      <c r="C387" s="42"/>
      <c r="D387" s="42"/>
      <c r="E387" s="17"/>
      <c r="F387" s="42"/>
    </row>
    <row r="388" customFormat="false" ht="15" hidden="false" customHeight="false" outlineLevel="0" collapsed="false">
      <c r="A388" s="42"/>
      <c r="B388" s="19"/>
      <c r="C388" s="42"/>
      <c r="D388" s="42"/>
      <c r="E388" s="17"/>
      <c r="F388" s="42"/>
    </row>
    <row r="389" customFormat="false" ht="15" hidden="false" customHeight="false" outlineLevel="0" collapsed="false">
      <c r="A389" s="42"/>
      <c r="B389" s="19"/>
      <c r="C389" s="42"/>
      <c r="D389" s="42"/>
      <c r="E389" s="17"/>
      <c r="F389" s="42"/>
    </row>
    <row r="390" customFormat="false" ht="15" hidden="false" customHeight="false" outlineLevel="0" collapsed="false">
      <c r="A390" s="42"/>
      <c r="B390" s="19"/>
      <c r="C390" s="42"/>
      <c r="D390" s="42"/>
      <c r="E390" s="17"/>
      <c r="F390" s="42"/>
    </row>
    <row r="391" customFormat="false" ht="15" hidden="false" customHeight="false" outlineLevel="0" collapsed="false">
      <c r="A391" s="42"/>
      <c r="B391" s="19"/>
      <c r="C391" s="42"/>
      <c r="D391" s="42"/>
      <c r="E391" s="17"/>
      <c r="F391" s="42"/>
    </row>
    <row r="392" customFormat="false" ht="15" hidden="false" customHeight="false" outlineLevel="0" collapsed="false">
      <c r="A392" s="42"/>
      <c r="B392" s="19"/>
      <c r="C392" s="42"/>
      <c r="D392" s="42"/>
      <c r="E392" s="17"/>
      <c r="F392" s="42"/>
    </row>
    <row r="393" customFormat="false" ht="15" hidden="false" customHeight="false" outlineLevel="0" collapsed="false">
      <c r="A393" s="42"/>
      <c r="B393" s="19"/>
      <c r="C393" s="42"/>
      <c r="D393" s="42"/>
      <c r="E393" s="17"/>
      <c r="F393" s="42"/>
    </row>
    <row r="394" customFormat="false" ht="15" hidden="false" customHeight="false" outlineLevel="0" collapsed="false">
      <c r="A394" s="42"/>
      <c r="B394" s="19"/>
      <c r="C394" s="42"/>
      <c r="D394" s="42"/>
      <c r="E394" s="17"/>
      <c r="F394" s="42"/>
    </row>
    <row r="395" customFormat="false" ht="15" hidden="false" customHeight="false" outlineLevel="0" collapsed="false">
      <c r="A395" s="42"/>
      <c r="B395" s="19"/>
      <c r="C395" s="42"/>
      <c r="D395" s="42"/>
      <c r="E395" s="17"/>
      <c r="F395" s="42"/>
    </row>
    <row r="396" customFormat="false" ht="15" hidden="false" customHeight="false" outlineLevel="0" collapsed="false">
      <c r="A396" s="42"/>
      <c r="B396" s="19"/>
      <c r="C396" s="42"/>
      <c r="D396" s="42"/>
      <c r="E396" s="17"/>
      <c r="F396" s="42"/>
    </row>
    <row r="397" customFormat="false" ht="15" hidden="false" customHeight="false" outlineLevel="0" collapsed="false">
      <c r="A397" s="42"/>
      <c r="B397" s="19"/>
      <c r="C397" s="42"/>
      <c r="D397" s="42"/>
      <c r="E397" s="17"/>
      <c r="F397" s="42"/>
    </row>
    <row r="398" customFormat="false" ht="15" hidden="false" customHeight="false" outlineLevel="0" collapsed="false">
      <c r="A398" s="42"/>
      <c r="B398" s="19"/>
      <c r="C398" s="42"/>
      <c r="D398" s="42"/>
      <c r="E398" s="17"/>
      <c r="F398" s="42"/>
    </row>
    <row r="399" customFormat="false" ht="15" hidden="false" customHeight="false" outlineLevel="0" collapsed="false">
      <c r="A399" s="42"/>
      <c r="B399" s="19"/>
      <c r="C399" s="42"/>
      <c r="D399" s="42"/>
      <c r="E399" s="17"/>
      <c r="F399" s="42"/>
    </row>
    <row r="400" customFormat="false" ht="15" hidden="false" customHeight="false" outlineLevel="0" collapsed="false">
      <c r="A400" s="42"/>
      <c r="B400" s="19"/>
      <c r="C400" s="42"/>
      <c r="D400" s="42"/>
      <c r="E400" s="17"/>
      <c r="F400" s="42"/>
    </row>
    <row r="401" customFormat="false" ht="15" hidden="false" customHeight="false" outlineLevel="0" collapsed="false">
      <c r="A401" s="42"/>
      <c r="B401" s="19"/>
      <c r="C401" s="42"/>
      <c r="D401" s="42"/>
      <c r="E401" s="17"/>
      <c r="F401" s="42"/>
    </row>
    <row r="402" customFormat="false" ht="15" hidden="false" customHeight="false" outlineLevel="0" collapsed="false">
      <c r="A402" s="42"/>
      <c r="B402" s="19"/>
      <c r="C402" s="42"/>
      <c r="D402" s="42"/>
      <c r="E402" s="17"/>
      <c r="F402" s="42"/>
    </row>
    <row r="403" customFormat="false" ht="15" hidden="false" customHeight="false" outlineLevel="0" collapsed="false">
      <c r="A403" s="42"/>
      <c r="B403" s="19"/>
      <c r="C403" s="42"/>
      <c r="D403" s="42"/>
      <c r="E403" s="17"/>
      <c r="F403" s="42"/>
    </row>
    <row r="404" customFormat="false" ht="15" hidden="false" customHeight="false" outlineLevel="0" collapsed="false">
      <c r="A404" s="42"/>
      <c r="B404" s="19"/>
      <c r="C404" s="42"/>
      <c r="D404" s="42"/>
      <c r="E404" s="17"/>
      <c r="F404" s="42"/>
    </row>
    <row r="405" customFormat="false" ht="15" hidden="false" customHeight="false" outlineLevel="0" collapsed="false">
      <c r="A405" s="42"/>
      <c r="B405" s="19"/>
      <c r="C405" s="42"/>
      <c r="D405" s="42"/>
      <c r="E405" s="17"/>
      <c r="F405" s="42"/>
    </row>
    <row r="406" customFormat="false" ht="15" hidden="false" customHeight="false" outlineLevel="0" collapsed="false">
      <c r="A406" s="42"/>
      <c r="B406" s="19"/>
      <c r="C406" s="42"/>
      <c r="D406" s="42"/>
      <c r="E406" s="17"/>
      <c r="F406" s="42"/>
    </row>
    <row r="407" customFormat="false" ht="15" hidden="false" customHeight="false" outlineLevel="0" collapsed="false">
      <c r="A407" s="42"/>
      <c r="B407" s="19"/>
      <c r="C407" s="42"/>
      <c r="D407" s="42"/>
      <c r="E407" s="17"/>
      <c r="F407" s="42"/>
    </row>
    <row r="408" customFormat="false" ht="15" hidden="false" customHeight="false" outlineLevel="0" collapsed="false">
      <c r="A408" s="42"/>
      <c r="B408" s="19"/>
      <c r="C408" s="42"/>
      <c r="D408" s="42"/>
      <c r="E408" s="17"/>
      <c r="F408" s="42"/>
    </row>
    <row r="409" customFormat="false" ht="15" hidden="false" customHeight="false" outlineLevel="0" collapsed="false">
      <c r="A409" s="42"/>
      <c r="B409" s="19"/>
      <c r="C409" s="42"/>
      <c r="D409" s="42"/>
      <c r="E409" s="17"/>
      <c r="F409" s="42"/>
    </row>
    <row r="410" customFormat="false" ht="15" hidden="false" customHeight="false" outlineLevel="0" collapsed="false">
      <c r="A410" s="42"/>
      <c r="B410" s="19"/>
      <c r="C410" s="42"/>
      <c r="D410" s="42"/>
      <c r="E410" s="17"/>
      <c r="F410" s="42"/>
    </row>
    <row r="411" customFormat="false" ht="15" hidden="false" customHeight="false" outlineLevel="0" collapsed="false">
      <c r="A411" s="42"/>
      <c r="B411" s="19"/>
      <c r="C411" s="42"/>
      <c r="D411" s="42"/>
      <c r="E411" s="17"/>
      <c r="F411" s="42"/>
    </row>
    <row r="412" customFormat="false" ht="15" hidden="false" customHeight="false" outlineLevel="0" collapsed="false">
      <c r="A412" s="42"/>
      <c r="B412" s="19"/>
      <c r="C412" s="42"/>
      <c r="D412" s="42"/>
      <c r="E412" s="17"/>
      <c r="F412" s="42"/>
    </row>
    <row r="413" customFormat="false" ht="15" hidden="false" customHeight="false" outlineLevel="0" collapsed="false">
      <c r="A413" s="42"/>
      <c r="B413" s="19"/>
      <c r="C413" s="42"/>
      <c r="D413" s="42"/>
      <c r="E413" s="17"/>
      <c r="F413" s="42"/>
    </row>
    <row r="414" customFormat="false" ht="15" hidden="false" customHeight="false" outlineLevel="0" collapsed="false">
      <c r="A414" s="42"/>
      <c r="B414" s="19"/>
      <c r="C414" s="42"/>
      <c r="D414" s="42"/>
      <c r="E414" s="17"/>
      <c r="F414" s="42"/>
    </row>
    <row r="415" customFormat="false" ht="15" hidden="false" customHeight="false" outlineLevel="0" collapsed="false">
      <c r="A415" s="42"/>
      <c r="B415" s="19"/>
      <c r="C415" s="42"/>
      <c r="D415" s="42"/>
      <c r="E415" s="17"/>
      <c r="F415" s="42"/>
    </row>
    <row r="416" customFormat="false" ht="15" hidden="false" customHeight="false" outlineLevel="0" collapsed="false">
      <c r="A416" s="42"/>
      <c r="B416" s="19"/>
      <c r="C416" s="42"/>
      <c r="D416" s="42"/>
      <c r="E416" s="17"/>
      <c r="F416" s="42"/>
    </row>
    <row r="417" customFormat="false" ht="15" hidden="false" customHeight="false" outlineLevel="0" collapsed="false">
      <c r="A417" s="42"/>
      <c r="B417" s="19"/>
      <c r="C417" s="42"/>
      <c r="D417" s="42"/>
      <c r="E417" s="17"/>
      <c r="F417" s="42"/>
    </row>
    <row r="418" customFormat="false" ht="15" hidden="false" customHeight="false" outlineLevel="0" collapsed="false">
      <c r="A418" s="42"/>
      <c r="B418" s="19"/>
      <c r="C418" s="42"/>
      <c r="D418" s="42"/>
      <c r="E418" s="17"/>
      <c r="F418" s="42"/>
    </row>
    <row r="419" customFormat="false" ht="15" hidden="false" customHeight="false" outlineLevel="0" collapsed="false">
      <c r="A419" s="42"/>
      <c r="B419" s="19"/>
      <c r="C419" s="42"/>
      <c r="D419" s="42"/>
      <c r="E419" s="17"/>
      <c r="F419" s="42"/>
    </row>
    <row r="420" customFormat="false" ht="15" hidden="false" customHeight="false" outlineLevel="0" collapsed="false">
      <c r="A420" s="42"/>
      <c r="B420" s="19"/>
      <c r="C420" s="42"/>
      <c r="D420" s="42"/>
      <c r="E420" s="17"/>
      <c r="F420" s="42"/>
    </row>
    <row r="421" customFormat="false" ht="15" hidden="false" customHeight="false" outlineLevel="0" collapsed="false">
      <c r="A421" s="42"/>
      <c r="B421" s="19"/>
      <c r="C421" s="42"/>
      <c r="D421" s="42"/>
      <c r="E421" s="17"/>
      <c r="F421" s="42"/>
    </row>
    <row r="422" customFormat="false" ht="15" hidden="false" customHeight="false" outlineLevel="0" collapsed="false">
      <c r="A422" s="42"/>
      <c r="B422" s="19"/>
      <c r="C422" s="42"/>
      <c r="D422" s="42"/>
      <c r="E422" s="17"/>
      <c r="F422" s="42"/>
    </row>
    <row r="423" customFormat="false" ht="15" hidden="false" customHeight="false" outlineLevel="0" collapsed="false">
      <c r="A423" s="42"/>
      <c r="B423" s="19"/>
      <c r="C423" s="42"/>
      <c r="D423" s="42"/>
      <c r="E423" s="17"/>
      <c r="F423" s="42"/>
    </row>
    <row r="424" customFormat="false" ht="15" hidden="false" customHeight="false" outlineLevel="0" collapsed="false">
      <c r="A424" s="42"/>
      <c r="B424" s="19"/>
      <c r="C424" s="42"/>
      <c r="D424" s="42"/>
      <c r="E424" s="17"/>
      <c r="F424" s="42"/>
    </row>
    <row r="425" customFormat="false" ht="15" hidden="false" customHeight="false" outlineLevel="0" collapsed="false">
      <c r="A425" s="42"/>
      <c r="B425" s="19"/>
      <c r="C425" s="42"/>
      <c r="D425" s="42"/>
      <c r="E425" s="17"/>
      <c r="F425" s="42"/>
    </row>
    <row r="426" customFormat="false" ht="15" hidden="false" customHeight="false" outlineLevel="0" collapsed="false">
      <c r="A426" s="42"/>
      <c r="B426" s="19"/>
      <c r="C426" s="42"/>
      <c r="D426" s="42"/>
      <c r="E426" s="17"/>
      <c r="F426" s="42"/>
    </row>
    <row r="427" customFormat="false" ht="15" hidden="false" customHeight="false" outlineLevel="0" collapsed="false">
      <c r="A427" s="42"/>
      <c r="B427" s="19"/>
      <c r="C427" s="42"/>
      <c r="D427" s="42"/>
      <c r="E427" s="17"/>
      <c r="F427" s="42"/>
    </row>
    <row r="428" customFormat="false" ht="15" hidden="false" customHeight="false" outlineLevel="0" collapsed="false">
      <c r="A428" s="42"/>
      <c r="B428" s="19"/>
      <c r="C428" s="42"/>
      <c r="D428" s="42"/>
      <c r="E428" s="17"/>
      <c r="F428" s="42"/>
    </row>
    <row r="429" customFormat="false" ht="15" hidden="false" customHeight="false" outlineLevel="0" collapsed="false">
      <c r="A429" s="42"/>
      <c r="B429" s="19"/>
      <c r="C429" s="42"/>
      <c r="D429" s="42"/>
      <c r="E429" s="17"/>
      <c r="F429" s="42"/>
    </row>
    <row r="430" customFormat="false" ht="15" hidden="false" customHeight="false" outlineLevel="0" collapsed="false">
      <c r="A430" s="42"/>
      <c r="B430" s="19"/>
      <c r="C430" s="42"/>
      <c r="D430" s="42"/>
      <c r="E430" s="17"/>
      <c r="F430" s="42"/>
    </row>
    <row r="431" customFormat="false" ht="15" hidden="false" customHeight="false" outlineLevel="0" collapsed="false">
      <c r="A431" s="42"/>
      <c r="B431" s="19"/>
      <c r="C431" s="42"/>
      <c r="D431" s="42"/>
      <c r="E431" s="17"/>
      <c r="F431" s="42"/>
    </row>
    <row r="432" customFormat="false" ht="15" hidden="false" customHeight="false" outlineLevel="0" collapsed="false">
      <c r="A432" s="42"/>
      <c r="B432" s="19"/>
      <c r="C432" s="42"/>
      <c r="D432" s="42"/>
      <c r="E432" s="17"/>
      <c r="F432" s="42"/>
    </row>
    <row r="433" customFormat="false" ht="15" hidden="false" customHeight="false" outlineLevel="0" collapsed="false">
      <c r="A433" s="42"/>
      <c r="B433" s="19"/>
      <c r="C433" s="42"/>
      <c r="D433" s="42"/>
      <c r="E433" s="17"/>
      <c r="F433" s="42"/>
    </row>
    <row r="434" customFormat="false" ht="15" hidden="false" customHeight="false" outlineLevel="0" collapsed="false">
      <c r="A434" s="42"/>
      <c r="B434" s="19"/>
      <c r="C434" s="42"/>
      <c r="D434" s="42"/>
      <c r="E434" s="17"/>
      <c r="F434" s="42"/>
    </row>
    <row r="435" customFormat="false" ht="15" hidden="false" customHeight="false" outlineLevel="0" collapsed="false">
      <c r="A435" s="42"/>
      <c r="B435" s="19"/>
      <c r="C435" s="42"/>
      <c r="D435" s="42"/>
      <c r="E435" s="17"/>
      <c r="F435" s="42"/>
    </row>
    <row r="436" customFormat="false" ht="15" hidden="false" customHeight="false" outlineLevel="0" collapsed="false">
      <c r="A436" s="42"/>
      <c r="B436" s="19"/>
      <c r="C436" s="42"/>
      <c r="D436" s="42"/>
      <c r="E436" s="17"/>
      <c r="F436" s="42"/>
    </row>
    <row r="437" customFormat="false" ht="15" hidden="false" customHeight="false" outlineLevel="0" collapsed="false">
      <c r="A437" s="42"/>
      <c r="B437" s="19"/>
      <c r="C437" s="42"/>
      <c r="D437" s="42"/>
      <c r="E437" s="17"/>
      <c r="F437" s="42"/>
    </row>
    <row r="438" customFormat="false" ht="15" hidden="false" customHeight="false" outlineLevel="0" collapsed="false">
      <c r="A438" s="42"/>
      <c r="B438" s="19"/>
      <c r="C438" s="42"/>
      <c r="D438" s="42"/>
      <c r="E438" s="17"/>
      <c r="F438" s="42"/>
    </row>
    <row r="439" customFormat="false" ht="15" hidden="false" customHeight="false" outlineLevel="0" collapsed="false">
      <c r="A439" s="42"/>
      <c r="B439" s="19"/>
      <c r="C439" s="42"/>
      <c r="D439" s="42"/>
      <c r="E439" s="17"/>
      <c r="F439" s="42"/>
    </row>
    <row r="440" customFormat="false" ht="15" hidden="false" customHeight="false" outlineLevel="0" collapsed="false">
      <c r="A440" s="42"/>
      <c r="B440" s="19"/>
      <c r="C440" s="42"/>
      <c r="D440" s="42"/>
      <c r="E440" s="17"/>
      <c r="F440" s="42"/>
    </row>
    <row r="441" customFormat="false" ht="15" hidden="false" customHeight="false" outlineLevel="0" collapsed="false">
      <c r="A441" s="42"/>
      <c r="B441" s="19"/>
      <c r="C441" s="42"/>
      <c r="D441" s="42"/>
      <c r="E441" s="17"/>
      <c r="F441" s="42"/>
    </row>
    <row r="442" customFormat="false" ht="15" hidden="false" customHeight="false" outlineLevel="0" collapsed="false">
      <c r="A442" s="42"/>
      <c r="B442" s="19"/>
      <c r="C442" s="42"/>
      <c r="D442" s="42"/>
      <c r="E442" s="17"/>
      <c r="F442" s="42"/>
    </row>
    <row r="443" customFormat="false" ht="15" hidden="false" customHeight="false" outlineLevel="0" collapsed="false">
      <c r="A443" s="42"/>
      <c r="B443" s="19"/>
      <c r="C443" s="42"/>
      <c r="D443" s="42"/>
      <c r="E443" s="17"/>
      <c r="F443" s="42"/>
    </row>
    <row r="444" customFormat="false" ht="15" hidden="false" customHeight="false" outlineLevel="0" collapsed="false">
      <c r="A444" s="42"/>
      <c r="B444" s="19"/>
      <c r="C444" s="42"/>
      <c r="D444" s="42"/>
      <c r="E444" s="17"/>
      <c r="F444" s="42"/>
    </row>
    <row r="445" customFormat="false" ht="15" hidden="false" customHeight="false" outlineLevel="0" collapsed="false">
      <c r="A445" s="42"/>
      <c r="B445" s="19"/>
      <c r="C445" s="42"/>
      <c r="D445" s="42"/>
      <c r="E445" s="17"/>
      <c r="F445" s="42"/>
    </row>
    <row r="446" customFormat="false" ht="15" hidden="false" customHeight="false" outlineLevel="0" collapsed="false">
      <c r="A446" s="42"/>
      <c r="B446" s="19"/>
      <c r="C446" s="42"/>
      <c r="D446" s="42"/>
      <c r="E446" s="17"/>
      <c r="F446" s="42"/>
    </row>
    <row r="447" customFormat="false" ht="15" hidden="false" customHeight="false" outlineLevel="0" collapsed="false">
      <c r="A447" s="42"/>
      <c r="B447" s="19"/>
      <c r="C447" s="42"/>
      <c r="D447" s="42"/>
      <c r="E447" s="17"/>
      <c r="F447" s="42"/>
    </row>
    <row r="448" customFormat="false" ht="15" hidden="false" customHeight="false" outlineLevel="0" collapsed="false">
      <c r="A448" s="42"/>
      <c r="B448" s="19"/>
      <c r="C448" s="42"/>
      <c r="D448" s="42"/>
      <c r="E448" s="17"/>
      <c r="F448" s="42"/>
    </row>
    <row r="449" customFormat="false" ht="15" hidden="false" customHeight="false" outlineLevel="0" collapsed="false">
      <c r="A449" s="42"/>
      <c r="B449" s="19"/>
      <c r="C449" s="42"/>
      <c r="D449" s="42"/>
      <c r="E449" s="17"/>
      <c r="F449" s="42"/>
    </row>
    <row r="450" customFormat="false" ht="15" hidden="false" customHeight="false" outlineLevel="0" collapsed="false">
      <c r="A450" s="42"/>
      <c r="B450" s="19"/>
      <c r="C450" s="42"/>
      <c r="D450" s="42"/>
      <c r="E450" s="17"/>
      <c r="F450" s="42"/>
    </row>
    <row r="451" customFormat="false" ht="15" hidden="false" customHeight="false" outlineLevel="0" collapsed="false">
      <c r="A451" s="42"/>
      <c r="B451" s="19"/>
      <c r="C451" s="42"/>
      <c r="D451" s="42"/>
      <c r="E451" s="17"/>
      <c r="F451" s="42"/>
    </row>
    <row r="452" customFormat="false" ht="15" hidden="false" customHeight="false" outlineLevel="0" collapsed="false">
      <c r="A452" s="42"/>
      <c r="B452" s="19"/>
      <c r="C452" s="42"/>
      <c r="D452" s="42"/>
      <c r="E452" s="17"/>
      <c r="F452" s="42"/>
    </row>
    <row r="453" customFormat="false" ht="15" hidden="false" customHeight="false" outlineLevel="0" collapsed="false">
      <c r="A453" s="42"/>
      <c r="B453" s="19"/>
      <c r="C453" s="42"/>
      <c r="D453" s="42"/>
      <c r="E453" s="17"/>
      <c r="F453" s="42"/>
    </row>
    <row r="454" customFormat="false" ht="15" hidden="false" customHeight="false" outlineLevel="0" collapsed="false">
      <c r="A454" s="42"/>
      <c r="B454" s="19"/>
      <c r="C454" s="42"/>
      <c r="D454" s="42"/>
      <c r="E454" s="17"/>
      <c r="F454" s="42"/>
    </row>
    <row r="455" customFormat="false" ht="15" hidden="false" customHeight="false" outlineLevel="0" collapsed="false">
      <c r="A455" s="42"/>
      <c r="B455" s="19"/>
      <c r="C455" s="42"/>
      <c r="D455" s="42"/>
      <c r="E455" s="17"/>
      <c r="F455" s="42"/>
    </row>
    <row r="456" customFormat="false" ht="15" hidden="false" customHeight="false" outlineLevel="0" collapsed="false">
      <c r="A456" s="42"/>
      <c r="B456" s="19"/>
      <c r="C456" s="42"/>
      <c r="D456" s="42"/>
      <c r="E456" s="17"/>
      <c r="F456" s="42"/>
    </row>
    <row r="457" customFormat="false" ht="15" hidden="false" customHeight="false" outlineLevel="0" collapsed="false">
      <c r="A457" s="42"/>
      <c r="B457" s="19"/>
      <c r="C457" s="42"/>
      <c r="D457" s="42"/>
      <c r="E457" s="17"/>
      <c r="F457" s="42"/>
    </row>
    <row r="458" customFormat="false" ht="15" hidden="false" customHeight="false" outlineLevel="0" collapsed="false">
      <c r="A458" s="42"/>
      <c r="B458" s="19"/>
      <c r="C458" s="42"/>
      <c r="D458" s="42"/>
      <c r="E458" s="17"/>
      <c r="F458" s="42"/>
    </row>
    <row r="459" customFormat="false" ht="15" hidden="false" customHeight="false" outlineLevel="0" collapsed="false">
      <c r="A459" s="42"/>
      <c r="B459" s="19"/>
      <c r="C459" s="42"/>
      <c r="D459" s="42"/>
      <c r="E459" s="17"/>
      <c r="F459" s="42"/>
    </row>
    <row r="460" customFormat="false" ht="15" hidden="false" customHeight="false" outlineLevel="0" collapsed="false">
      <c r="A460" s="42"/>
      <c r="B460" s="19"/>
      <c r="C460" s="42"/>
      <c r="D460" s="42"/>
      <c r="E460" s="17"/>
      <c r="F460" s="42"/>
    </row>
    <row r="461" customFormat="false" ht="15" hidden="false" customHeight="false" outlineLevel="0" collapsed="false">
      <c r="A461" s="42"/>
      <c r="B461" s="19"/>
      <c r="C461" s="42"/>
      <c r="D461" s="42"/>
      <c r="E461" s="17"/>
      <c r="F461" s="42"/>
    </row>
    <row r="462" customFormat="false" ht="15" hidden="false" customHeight="false" outlineLevel="0" collapsed="false">
      <c r="A462" s="42"/>
      <c r="B462" s="19"/>
      <c r="C462" s="42"/>
      <c r="D462" s="42"/>
      <c r="E462" s="17"/>
      <c r="F462" s="42"/>
    </row>
    <row r="463" customFormat="false" ht="15" hidden="false" customHeight="false" outlineLevel="0" collapsed="false">
      <c r="A463" s="42"/>
      <c r="B463" s="19"/>
      <c r="C463" s="42"/>
      <c r="D463" s="42"/>
      <c r="E463" s="17"/>
      <c r="F463" s="42"/>
    </row>
    <row r="464" customFormat="false" ht="15" hidden="false" customHeight="false" outlineLevel="0" collapsed="false">
      <c r="A464" s="42"/>
      <c r="B464" s="19"/>
      <c r="C464" s="42"/>
      <c r="D464" s="42"/>
      <c r="E464" s="17"/>
      <c r="F464" s="42"/>
    </row>
    <row r="465" customFormat="false" ht="15" hidden="false" customHeight="false" outlineLevel="0" collapsed="false">
      <c r="A465" s="42"/>
      <c r="B465" s="19"/>
      <c r="C465" s="42"/>
      <c r="D465" s="42"/>
      <c r="E465" s="17"/>
      <c r="F465" s="42"/>
    </row>
    <row r="466" customFormat="false" ht="15" hidden="false" customHeight="false" outlineLevel="0" collapsed="false">
      <c r="A466" s="42"/>
      <c r="B466" s="19"/>
      <c r="C466" s="42"/>
      <c r="D466" s="42"/>
      <c r="E466" s="17"/>
      <c r="F466" s="42"/>
    </row>
    <row r="467" customFormat="false" ht="15" hidden="false" customHeight="false" outlineLevel="0" collapsed="false">
      <c r="A467" s="42"/>
      <c r="B467" s="19"/>
      <c r="C467" s="42"/>
      <c r="D467" s="42"/>
      <c r="E467" s="17"/>
      <c r="F467" s="42"/>
    </row>
    <row r="468" customFormat="false" ht="15" hidden="false" customHeight="false" outlineLevel="0" collapsed="false">
      <c r="A468" s="42"/>
      <c r="B468" s="19"/>
      <c r="C468" s="42"/>
      <c r="D468" s="42"/>
      <c r="E468" s="17"/>
      <c r="F468" s="42"/>
    </row>
    <row r="469" customFormat="false" ht="15" hidden="false" customHeight="false" outlineLevel="0" collapsed="false">
      <c r="A469" s="42"/>
      <c r="B469" s="19"/>
      <c r="C469" s="42"/>
      <c r="D469" s="42"/>
      <c r="E469" s="17"/>
      <c r="F469" s="42"/>
    </row>
    <row r="470" customFormat="false" ht="15" hidden="false" customHeight="false" outlineLevel="0" collapsed="false">
      <c r="A470" s="42"/>
      <c r="B470" s="19"/>
      <c r="C470" s="42"/>
      <c r="D470" s="42"/>
      <c r="E470" s="17"/>
      <c r="F470" s="42"/>
    </row>
    <row r="471" customFormat="false" ht="15" hidden="false" customHeight="false" outlineLevel="0" collapsed="false">
      <c r="A471" s="42"/>
      <c r="B471" s="19"/>
      <c r="C471" s="42"/>
      <c r="D471" s="42"/>
      <c r="E471" s="17"/>
      <c r="F471" s="42"/>
    </row>
    <row r="472" customFormat="false" ht="15" hidden="false" customHeight="false" outlineLevel="0" collapsed="false">
      <c r="A472" s="42"/>
      <c r="B472" s="19"/>
      <c r="C472" s="42"/>
      <c r="D472" s="42"/>
      <c r="E472" s="17"/>
      <c r="F472" s="42"/>
    </row>
    <row r="473" customFormat="false" ht="15" hidden="false" customHeight="false" outlineLevel="0" collapsed="false">
      <c r="A473" s="42"/>
      <c r="B473" s="19"/>
      <c r="C473" s="42"/>
      <c r="D473" s="42"/>
      <c r="E473" s="17"/>
      <c r="F473" s="42"/>
    </row>
    <row r="474" customFormat="false" ht="15" hidden="false" customHeight="false" outlineLevel="0" collapsed="false">
      <c r="A474" s="42"/>
      <c r="B474" s="19"/>
      <c r="C474" s="42"/>
      <c r="D474" s="42"/>
      <c r="E474" s="17"/>
      <c r="F474" s="42"/>
    </row>
    <row r="475" customFormat="false" ht="15" hidden="false" customHeight="false" outlineLevel="0" collapsed="false">
      <c r="A475" s="42"/>
      <c r="B475" s="19"/>
      <c r="C475" s="42"/>
      <c r="D475" s="42"/>
      <c r="E475" s="17"/>
      <c r="F475" s="42"/>
    </row>
    <row r="476" customFormat="false" ht="15" hidden="false" customHeight="false" outlineLevel="0" collapsed="false">
      <c r="A476" s="42"/>
      <c r="B476" s="19"/>
      <c r="C476" s="42"/>
      <c r="D476" s="42"/>
      <c r="E476" s="17"/>
      <c r="F476" s="42"/>
    </row>
    <row r="477" customFormat="false" ht="15" hidden="false" customHeight="false" outlineLevel="0" collapsed="false">
      <c r="A477" s="42"/>
      <c r="B477" s="19"/>
      <c r="C477" s="42"/>
      <c r="D477" s="42"/>
      <c r="E477" s="17"/>
      <c r="F477" s="42"/>
    </row>
    <row r="478" customFormat="false" ht="15" hidden="false" customHeight="false" outlineLevel="0" collapsed="false">
      <c r="A478" s="42"/>
      <c r="B478" s="19"/>
      <c r="C478" s="42"/>
      <c r="D478" s="42"/>
      <c r="E478" s="17"/>
      <c r="F478" s="42"/>
    </row>
    <row r="479" customFormat="false" ht="15" hidden="false" customHeight="false" outlineLevel="0" collapsed="false">
      <c r="A479" s="42"/>
      <c r="B479" s="19"/>
      <c r="C479" s="42"/>
      <c r="D479" s="42"/>
      <c r="E479" s="17"/>
      <c r="F479" s="42"/>
    </row>
    <row r="480" customFormat="false" ht="15" hidden="false" customHeight="false" outlineLevel="0" collapsed="false">
      <c r="A480" s="42"/>
      <c r="B480" s="19"/>
      <c r="C480" s="42"/>
      <c r="D480" s="42"/>
      <c r="E480" s="17"/>
      <c r="F480" s="42"/>
    </row>
    <row r="481" customFormat="false" ht="15" hidden="false" customHeight="false" outlineLevel="0" collapsed="false">
      <c r="A481" s="42"/>
      <c r="B481" s="19"/>
      <c r="C481" s="42"/>
      <c r="D481" s="42"/>
      <c r="E481" s="17"/>
      <c r="F481" s="42"/>
    </row>
    <row r="482" customFormat="false" ht="15" hidden="false" customHeight="false" outlineLevel="0" collapsed="false">
      <c r="A482" s="42"/>
      <c r="B482" s="19"/>
      <c r="C482" s="42"/>
      <c r="D482" s="42"/>
      <c r="E482" s="17"/>
      <c r="F482" s="42"/>
    </row>
    <row r="483" customFormat="false" ht="15" hidden="false" customHeight="false" outlineLevel="0" collapsed="false">
      <c r="A483" s="42"/>
      <c r="B483" s="19"/>
      <c r="C483" s="42"/>
      <c r="D483" s="42"/>
      <c r="E483" s="17"/>
      <c r="F483" s="42"/>
    </row>
    <row r="484" customFormat="false" ht="15" hidden="false" customHeight="false" outlineLevel="0" collapsed="false">
      <c r="A484" s="42"/>
      <c r="B484" s="19"/>
      <c r="C484" s="42"/>
      <c r="D484" s="42"/>
      <c r="E484" s="17"/>
      <c r="F484" s="42"/>
    </row>
    <row r="485" customFormat="false" ht="15" hidden="false" customHeight="false" outlineLevel="0" collapsed="false">
      <c r="A485" s="42"/>
      <c r="B485" s="19"/>
      <c r="C485" s="42"/>
      <c r="D485" s="42"/>
      <c r="E485" s="17"/>
      <c r="F485" s="42"/>
    </row>
    <row r="486" customFormat="false" ht="15" hidden="false" customHeight="false" outlineLevel="0" collapsed="false">
      <c r="A486" s="42"/>
      <c r="B486" s="19"/>
      <c r="C486" s="42"/>
      <c r="D486" s="42"/>
      <c r="E486" s="17"/>
      <c r="F486" s="42"/>
    </row>
    <row r="487" customFormat="false" ht="15" hidden="false" customHeight="false" outlineLevel="0" collapsed="false">
      <c r="A487" s="42"/>
      <c r="B487" s="19"/>
      <c r="C487" s="42"/>
      <c r="D487" s="42"/>
      <c r="E487" s="17"/>
      <c r="F487" s="42"/>
    </row>
    <row r="488" customFormat="false" ht="15" hidden="false" customHeight="false" outlineLevel="0" collapsed="false">
      <c r="A488" s="42"/>
      <c r="B488" s="19"/>
      <c r="C488" s="42"/>
      <c r="D488" s="42"/>
      <c r="E488" s="17"/>
      <c r="F488" s="42"/>
    </row>
    <row r="489" customFormat="false" ht="15" hidden="false" customHeight="false" outlineLevel="0" collapsed="false">
      <c r="A489" s="42"/>
      <c r="B489" s="19"/>
      <c r="C489" s="42"/>
      <c r="D489" s="42"/>
      <c r="E489" s="17"/>
      <c r="F489" s="42"/>
    </row>
    <row r="490" customFormat="false" ht="15" hidden="false" customHeight="false" outlineLevel="0" collapsed="false">
      <c r="A490" s="42"/>
      <c r="B490" s="19"/>
      <c r="C490" s="42"/>
      <c r="D490" s="42"/>
      <c r="E490" s="17"/>
      <c r="F490" s="42"/>
    </row>
    <row r="491" customFormat="false" ht="15" hidden="false" customHeight="false" outlineLevel="0" collapsed="false">
      <c r="A491" s="42"/>
      <c r="B491" s="19"/>
      <c r="C491" s="42"/>
      <c r="D491" s="42"/>
      <c r="E491" s="17"/>
      <c r="F491" s="42"/>
    </row>
    <row r="492" customFormat="false" ht="15" hidden="false" customHeight="false" outlineLevel="0" collapsed="false">
      <c r="A492" s="42"/>
      <c r="B492" s="19"/>
      <c r="C492" s="42"/>
      <c r="D492" s="42"/>
      <c r="E492" s="17"/>
      <c r="F492" s="42"/>
    </row>
    <row r="493" customFormat="false" ht="15" hidden="false" customHeight="false" outlineLevel="0" collapsed="false">
      <c r="A493" s="42"/>
      <c r="B493" s="19"/>
      <c r="C493" s="42"/>
      <c r="D493" s="42"/>
      <c r="E493" s="17"/>
      <c r="F493" s="42"/>
    </row>
    <row r="494" customFormat="false" ht="15" hidden="false" customHeight="false" outlineLevel="0" collapsed="false">
      <c r="A494" s="42"/>
      <c r="B494" s="19"/>
      <c r="C494" s="42"/>
      <c r="D494" s="42"/>
      <c r="E494" s="17"/>
      <c r="F494" s="42"/>
    </row>
    <row r="495" customFormat="false" ht="15" hidden="false" customHeight="false" outlineLevel="0" collapsed="false">
      <c r="A495" s="42"/>
      <c r="B495" s="19"/>
      <c r="C495" s="42"/>
      <c r="D495" s="42"/>
      <c r="E495" s="17"/>
      <c r="F495" s="42"/>
    </row>
    <row r="496" customFormat="false" ht="15" hidden="false" customHeight="false" outlineLevel="0" collapsed="false">
      <c r="A496" s="42"/>
      <c r="B496" s="19"/>
      <c r="C496" s="42"/>
      <c r="D496" s="42"/>
      <c r="E496" s="17"/>
      <c r="F496" s="42"/>
    </row>
    <row r="497" customFormat="false" ht="15" hidden="false" customHeight="false" outlineLevel="0" collapsed="false">
      <c r="A497" s="42"/>
      <c r="B497" s="19"/>
      <c r="C497" s="42"/>
      <c r="D497" s="42"/>
      <c r="E497" s="17"/>
      <c r="F497" s="42"/>
    </row>
    <row r="498" customFormat="false" ht="15" hidden="false" customHeight="false" outlineLevel="0" collapsed="false">
      <c r="A498" s="42"/>
      <c r="B498" s="19"/>
      <c r="C498" s="42"/>
      <c r="D498" s="42"/>
      <c r="E498" s="17"/>
      <c r="F498" s="42"/>
    </row>
    <row r="499" customFormat="false" ht="15" hidden="false" customHeight="false" outlineLevel="0" collapsed="false">
      <c r="A499" s="42"/>
      <c r="B499" s="19"/>
      <c r="C499" s="42"/>
      <c r="D499" s="42"/>
      <c r="E499" s="17"/>
      <c r="F499" s="42"/>
    </row>
    <row r="500" customFormat="false" ht="15" hidden="false" customHeight="false" outlineLevel="0" collapsed="false">
      <c r="A500" s="42"/>
      <c r="B500" s="19"/>
      <c r="C500" s="42"/>
      <c r="D500" s="42"/>
      <c r="E500" s="17"/>
      <c r="F500" s="42"/>
    </row>
    <row r="501" customFormat="false" ht="15" hidden="false" customHeight="false" outlineLevel="0" collapsed="false">
      <c r="A501" s="42"/>
      <c r="B501" s="19"/>
      <c r="C501" s="42"/>
      <c r="D501" s="42"/>
      <c r="E501" s="17"/>
      <c r="F501" s="42"/>
    </row>
    <row r="502" customFormat="false" ht="15" hidden="false" customHeight="false" outlineLevel="0" collapsed="false">
      <c r="A502" s="42"/>
      <c r="B502" s="19"/>
      <c r="C502" s="42"/>
      <c r="D502" s="42"/>
      <c r="E502" s="17"/>
      <c r="F502" s="42"/>
    </row>
    <row r="503" customFormat="false" ht="15" hidden="false" customHeight="false" outlineLevel="0" collapsed="false">
      <c r="A503" s="42"/>
      <c r="B503" s="19"/>
      <c r="C503" s="42"/>
      <c r="D503" s="42"/>
      <c r="E503" s="17"/>
      <c r="F503" s="42"/>
    </row>
    <row r="504" customFormat="false" ht="15" hidden="false" customHeight="false" outlineLevel="0" collapsed="false">
      <c r="A504" s="42"/>
      <c r="B504" s="19"/>
      <c r="C504" s="42"/>
      <c r="D504" s="42"/>
      <c r="E504" s="17"/>
      <c r="F504" s="42"/>
    </row>
  </sheetData>
  <mergeCells count="1">
    <mergeCell ref="H21:J22"/>
  </mergeCells>
  <dataValidations count="1">
    <dataValidation allowBlank="true" errorStyle="stop" operator="between" showDropDown="false" showErrorMessage="false" showInputMessage="false" sqref="C5:C504" type="list">
      <formula1>"Fuel,Tires,Scheduled Maintenance,Repair,Insurance,Registration/Tax,Purchase,Sale Proceeds,Other"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8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20"/>
    <col collapsed="false" customWidth="true" hidden="false" outlineLevel="0" max="3" min="3" style="0" width="7"/>
    <col collapsed="false" customWidth="true" hidden="false" outlineLevel="0" max="4" min="4" style="0" width="11"/>
    <col collapsed="false" customWidth="true" hidden="false" outlineLevel="0" max="5" min="5" style="0" width="10"/>
    <col collapsed="false" customWidth="true" hidden="false" outlineLevel="0" max="7" min="6" style="0" width="9"/>
    <col collapsed="false" customWidth="true" hidden="false" outlineLevel="0" max="10" min="8" style="0" width="10"/>
    <col collapsed="false" customWidth="true" hidden="false" outlineLevel="0" max="11" min="11" style="0" width="9"/>
    <col collapsed="false" customWidth="true" hidden="false" outlineLevel="0" max="12" min="12" style="0" width="13"/>
    <col collapsed="false" customWidth="true" hidden="false" outlineLevel="0" max="13" min="13" style="0" width="7"/>
    <col collapsed="false" customWidth="true" hidden="false" outlineLevel="0" max="14" min="14" style="0" width="12"/>
  </cols>
  <sheetData>
    <row r="1" customFormat="false" ht="17.35" hidden="false" customHeight="false" outlineLevel="0" collapsed="false">
      <c r="A1" s="1" t="s">
        <v>580</v>
      </c>
    </row>
    <row r="2" customFormat="false" ht="15" hidden="false" customHeight="false" outlineLevel="0" collapsed="false">
      <c r="A2" s="2" t="s">
        <v>581</v>
      </c>
    </row>
    <row r="3" customFormat="false" ht="15" hidden="false" customHeight="false" outlineLevel="0" collapsed="false">
      <c r="A3" s="2" t="s">
        <v>582</v>
      </c>
    </row>
    <row r="5" customFormat="false" ht="15" hidden="false" customHeight="false" outlineLevel="0" collapsed="false">
      <c r="A5" s="52" t="s">
        <v>583</v>
      </c>
      <c r="B5" s="8" t="s">
        <v>584</v>
      </c>
      <c r="C5" s="13" t="n">
        <v>25</v>
      </c>
      <c r="D5" s="8" t="s">
        <v>585</v>
      </c>
      <c r="E5" s="13" t="n">
        <v>15</v>
      </c>
      <c r="F5" s="8" t="s">
        <v>586</v>
      </c>
      <c r="G5" s="13" t="n">
        <v>15</v>
      </c>
      <c r="H5" s="8" t="s">
        <v>587</v>
      </c>
      <c r="I5" s="13" t="n">
        <v>10</v>
      </c>
      <c r="J5" s="8" t="s">
        <v>588</v>
      </c>
      <c r="K5" s="13" t="n">
        <v>20</v>
      </c>
      <c r="L5" s="8" t="s">
        <v>589</v>
      </c>
      <c r="M5" s="13" t="n">
        <v>15</v>
      </c>
      <c r="N5" s="2" t="s">
        <v>590</v>
      </c>
      <c r="O5" s="8" t="n">
        <f aca="false">C5+E5+G5+I5+K5+M5</f>
        <v>100</v>
      </c>
    </row>
    <row r="6" customFormat="false" ht="15" hidden="false" customHeight="false" outlineLevel="0" collapsed="false">
      <c r="C6" s="78" t="s">
        <v>591</v>
      </c>
      <c r="E6" s="78" t="s">
        <v>592</v>
      </c>
      <c r="G6" s="78" t="s">
        <v>593</v>
      </c>
      <c r="I6" s="78" t="s">
        <v>594</v>
      </c>
      <c r="K6" s="78" t="s">
        <v>595</v>
      </c>
      <c r="M6" s="78" t="s">
        <v>596</v>
      </c>
    </row>
    <row r="8" customFormat="false" ht="30" hidden="false" customHeight="true" outlineLevel="0" collapsed="false">
      <c r="A8" s="36" t="s">
        <v>146</v>
      </c>
      <c r="B8" s="36" t="s">
        <v>147</v>
      </c>
      <c r="C8" s="36" t="s">
        <v>148</v>
      </c>
      <c r="D8" s="36" t="s">
        <v>597</v>
      </c>
      <c r="E8" s="36" t="s">
        <v>598</v>
      </c>
      <c r="F8" s="36" t="s">
        <v>584</v>
      </c>
      <c r="G8" s="36" t="s">
        <v>585</v>
      </c>
      <c r="H8" s="36" t="s">
        <v>586</v>
      </c>
      <c r="I8" s="36" t="s">
        <v>587</v>
      </c>
      <c r="J8" s="36" t="s">
        <v>588</v>
      </c>
      <c r="K8" s="36" t="s">
        <v>589</v>
      </c>
      <c r="L8" s="36" t="s">
        <v>599</v>
      </c>
      <c r="M8" s="36" t="s">
        <v>176</v>
      </c>
      <c r="N8" s="36" t="s">
        <v>600</v>
      </c>
    </row>
    <row r="9" customFormat="false" ht="15" hidden="false" customHeight="false" outlineLevel="0" collapsed="false">
      <c r="A9" s="35" t="s">
        <v>183</v>
      </c>
      <c r="B9" s="35" t="s">
        <v>184</v>
      </c>
      <c r="C9" s="37" t="s">
        <v>477</v>
      </c>
      <c r="D9" s="22" t="n">
        <v>0.674</v>
      </c>
      <c r="E9" s="79" t="n">
        <v>54.5</v>
      </c>
      <c r="F9" s="41" t="n">
        <v>46.4</v>
      </c>
      <c r="G9" s="41" t="n">
        <v>90.2</v>
      </c>
      <c r="H9" s="41" t="n">
        <v>56.8</v>
      </c>
      <c r="I9" s="41" t="n">
        <v>17.4</v>
      </c>
      <c r="J9" s="41" t="n">
        <v>45.6</v>
      </c>
      <c r="K9" s="41" t="n">
        <v>63.4</v>
      </c>
      <c r="L9" s="80" t="n">
        <f aca="false">IFERROR((F9*$C$5+G9*$E$5+H9*$G$5+I9*$I$5+J9*$K$5+K9*$M$5)/$O$5,0)</f>
        <v>54.02</v>
      </c>
      <c r="M9" s="45" t="n">
        <f aca="false">RANK(L9,$L$9:$L$84,0)</f>
        <v>58</v>
      </c>
      <c r="N9" s="81"/>
    </row>
    <row r="10" customFormat="false" ht="15" hidden="false" customHeight="false" outlineLevel="0" collapsed="false">
      <c r="A10" s="35" t="s">
        <v>194</v>
      </c>
      <c r="B10" s="35" t="s">
        <v>184</v>
      </c>
      <c r="C10" s="37" t="s">
        <v>477</v>
      </c>
      <c r="D10" s="22" t="n">
        <v>0.703</v>
      </c>
      <c r="E10" s="79" t="n">
        <v>54.5</v>
      </c>
      <c r="F10" s="41" t="n">
        <v>40.2</v>
      </c>
      <c r="G10" s="41" t="n">
        <v>87.2</v>
      </c>
      <c r="H10" s="41" t="n">
        <v>56.8</v>
      </c>
      <c r="I10" s="41" t="n">
        <v>50</v>
      </c>
      <c r="J10" s="41" t="n">
        <v>57.6</v>
      </c>
      <c r="K10" s="41" t="n">
        <v>63.4</v>
      </c>
      <c r="L10" s="80" t="n">
        <f aca="false">IFERROR((F10*$C$5+G10*$E$5+H10*$G$5+I10*$I$5+J10*$K$5+K10*$M$5)/$O$5,0)</f>
        <v>57.68</v>
      </c>
      <c r="M10" s="45" t="n">
        <f aca="false">RANK(L10,$L$9:$L$84,0)</f>
        <v>50</v>
      </c>
      <c r="N10" s="81"/>
    </row>
    <row r="11" customFormat="false" ht="15" hidden="false" customHeight="false" outlineLevel="0" collapsed="false">
      <c r="A11" s="35" t="s">
        <v>197</v>
      </c>
      <c r="B11" s="35" t="s">
        <v>184</v>
      </c>
      <c r="C11" s="37" t="s">
        <v>477</v>
      </c>
      <c r="D11" s="22" t="n">
        <v>0.687</v>
      </c>
      <c r="E11" s="79" t="n">
        <v>54.4</v>
      </c>
      <c r="F11" s="41" t="n">
        <v>43.8</v>
      </c>
      <c r="G11" s="41" t="n">
        <v>90.2</v>
      </c>
      <c r="H11" s="41" t="n">
        <v>67.5</v>
      </c>
      <c r="I11" s="41" t="n">
        <v>15.2</v>
      </c>
      <c r="J11" s="41" t="n">
        <v>45.6</v>
      </c>
      <c r="K11" s="41" t="n">
        <v>64.4</v>
      </c>
      <c r="L11" s="80" t="n">
        <f aca="false">IFERROR((F11*$C$5+G11*$E$5+H11*$G$5+I11*$I$5+J11*$K$5+K11*$M$5)/$O$5,0)</f>
        <v>54.905</v>
      </c>
      <c r="M11" s="45" t="n">
        <f aca="false">RANK(L11,$L$9:$L$84,0)</f>
        <v>57</v>
      </c>
      <c r="N11" s="81"/>
    </row>
    <row r="12" customFormat="false" ht="15" hidden="false" customHeight="false" outlineLevel="0" collapsed="false">
      <c r="A12" s="35" t="s">
        <v>201</v>
      </c>
      <c r="B12" s="35" t="s">
        <v>184</v>
      </c>
      <c r="C12" s="37" t="s">
        <v>477</v>
      </c>
      <c r="D12" s="22" t="n">
        <v>0.702</v>
      </c>
      <c r="E12" s="79" t="n">
        <v>54.5</v>
      </c>
      <c r="F12" s="41" t="n">
        <v>40.4</v>
      </c>
      <c r="G12" s="41" t="n">
        <v>90.2</v>
      </c>
      <c r="H12" s="41" t="n">
        <v>57.1</v>
      </c>
      <c r="I12" s="41" t="n">
        <v>15.2</v>
      </c>
      <c r="J12" s="41" t="n">
        <v>29</v>
      </c>
      <c r="K12" s="41" t="n">
        <v>63.4</v>
      </c>
      <c r="L12" s="80" t="n">
        <f aca="false">IFERROR((F12*$C$5+G12*$E$5+H12*$G$5+I12*$I$5+J12*$K$5+K12*$M$5)/$O$5,0)</f>
        <v>49.025</v>
      </c>
      <c r="M12" s="45" t="n">
        <f aca="false">RANK(L12,$L$9:$L$84,0)</f>
        <v>66</v>
      </c>
      <c r="N12" s="81"/>
    </row>
    <row r="13" customFormat="false" ht="15" hidden="false" customHeight="false" outlineLevel="0" collapsed="false">
      <c r="A13" s="35" t="s">
        <v>204</v>
      </c>
      <c r="B13" s="35" t="s">
        <v>184</v>
      </c>
      <c r="C13" s="37" t="s">
        <v>477</v>
      </c>
      <c r="D13" s="22" t="n">
        <v>0.709</v>
      </c>
      <c r="E13" s="79" t="n">
        <v>54.5</v>
      </c>
      <c r="F13" s="41" t="n">
        <v>39</v>
      </c>
      <c r="G13" s="41" t="n">
        <v>90.2</v>
      </c>
      <c r="H13" s="41" t="n">
        <v>60.7</v>
      </c>
      <c r="I13" s="41" t="n">
        <v>15.2</v>
      </c>
      <c r="J13" s="41" t="n">
        <v>29</v>
      </c>
      <c r="K13" s="41" t="n">
        <v>63.4</v>
      </c>
      <c r="L13" s="80" t="n">
        <f aca="false">IFERROR((F13*$C$5+G13*$E$5+H13*$G$5+I13*$I$5+J13*$K$5+K13*$M$5)/$O$5,0)</f>
        <v>49.215</v>
      </c>
      <c r="M13" s="45" t="n">
        <f aca="false">RANK(L13,$L$9:$L$84,0)</f>
        <v>65</v>
      </c>
      <c r="N13" s="81"/>
    </row>
    <row r="14" customFormat="false" ht="15" hidden="false" customHeight="false" outlineLevel="0" collapsed="false">
      <c r="A14" s="35" t="s">
        <v>207</v>
      </c>
      <c r="B14" s="35" t="s">
        <v>184</v>
      </c>
      <c r="C14" s="49" t="s">
        <v>478</v>
      </c>
      <c r="D14" s="22" t="n">
        <v>0.684</v>
      </c>
      <c r="E14" s="79" t="n">
        <v>54.4</v>
      </c>
      <c r="F14" s="41" t="n">
        <v>44.4</v>
      </c>
      <c r="G14" s="41" t="n">
        <v>50.2</v>
      </c>
      <c r="H14" s="41" t="n">
        <v>58.1</v>
      </c>
      <c r="I14" s="41" t="n">
        <v>13</v>
      </c>
      <c r="J14" s="41" t="n">
        <v>52.7</v>
      </c>
      <c r="K14" s="41" t="n">
        <v>64.4</v>
      </c>
      <c r="L14" s="80" t="n">
        <f aca="false">IFERROR((F14*$C$5+G14*$E$5+H14*$G$5+I14*$I$5+J14*$K$5+K14*$M$5)/$O$5,0)</f>
        <v>48.845</v>
      </c>
      <c r="M14" s="45" t="n">
        <f aca="false">RANK(L14,$L$9:$L$84,0)</f>
        <v>67</v>
      </c>
      <c r="N14" s="81"/>
    </row>
    <row r="15" customFormat="false" ht="15" hidden="false" customHeight="false" outlineLevel="0" collapsed="false">
      <c r="A15" s="35" t="s">
        <v>212</v>
      </c>
      <c r="B15" s="35" t="s">
        <v>184</v>
      </c>
      <c r="C15" s="37" t="s">
        <v>477</v>
      </c>
      <c r="D15" s="22" t="n">
        <v>0.717</v>
      </c>
      <c r="E15" s="79" t="n">
        <v>55.7</v>
      </c>
      <c r="F15" s="41" t="n">
        <v>37.3</v>
      </c>
      <c r="G15" s="41" t="n">
        <v>95.5</v>
      </c>
      <c r="H15" s="41" t="n">
        <v>97.4</v>
      </c>
      <c r="I15" s="41" t="n">
        <v>0</v>
      </c>
      <c r="J15" s="41" t="n">
        <v>100</v>
      </c>
      <c r="K15" s="41" t="n">
        <v>52.3</v>
      </c>
      <c r="L15" s="80" t="n">
        <f aca="false">IFERROR((F15*$C$5+G15*$E$5+H15*$G$5+I15*$I$5+J15*$K$5+K15*$M$5)/$O$5,0)</f>
        <v>66.105</v>
      </c>
      <c r="M15" s="45" t="n">
        <f aca="false">RANK(L15,$L$9:$L$84,0)</f>
        <v>36</v>
      </c>
      <c r="N15" s="53" t="s">
        <v>189</v>
      </c>
    </row>
    <row r="16" customFormat="false" ht="15" hidden="false" customHeight="false" outlineLevel="0" collapsed="false">
      <c r="A16" s="35" t="s">
        <v>216</v>
      </c>
      <c r="B16" s="35" t="s">
        <v>184</v>
      </c>
      <c r="C16" s="49" t="s">
        <v>478</v>
      </c>
      <c r="D16" s="22" t="n">
        <v>0.625</v>
      </c>
      <c r="E16" s="79" t="n">
        <v>55</v>
      </c>
      <c r="F16" s="41" t="n">
        <v>57</v>
      </c>
      <c r="G16" s="41" t="n">
        <v>77.5</v>
      </c>
      <c r="H16" s="41" t="n">
        <v>49.7</v>
      </c>
      <c r="I16" s="41" t="n">
        <v>6.5</v>
      </c>
      <c r="J16" s="41" t="n">
        <v>86.4</v>
      </c>
      <c r="K16" s="41" t="n">
        <v>58.8</v>
      </c>
      <c r="L16" s="80" t="n">
        <f aca="false">IFERROR((F16*$C$5+G16*$E$5+H16*$G$5+I16*$I$5+J16*$K$5+K16*$M$5)/$O$5,0)</f>
        <v>60.08</v>
      </c>
      <c r="M16" s="45" t="n">
        <f aca="false">RANK(L16,$L$9:$L$84,0)</f>
        <v>48</v>
      </c>
      <c r="N16" s="81"/>
    </row>
    <row r="17" customFormat="false" ht="15" hidden="false" customHeight="false" outlineLevel="0" collapsed="false">
      <c r="A17" s="35" t="s">
        <v>219</v>
      </c>
      <c r="B17" s="35" t="s">
        <v>184</v>
      </c>
      <c r="C17" s="50" t="s">
        <v>479</v>
      </c>
      <c r="D17" s="22" t="n">
        <v>0.89</v>
      </c>
      <c r="E17" s="79" t="n">
        <v>55.5</v>
      </c>
      <c r="F17" s="41" t="n">
        <v>0</v>
      </c>
      <c r="G17" s="41" t="n">
        <v>54.2</v>
      </c>
      <c r="H17" s="41" t="n">
        <v>53.7</v>
      </c>
      <c r="I17" s="41" t="n">
        <v>6.5</v>
      </c>
      <c r="J17" s="41" t="n">
        <v>44.1</v>
      </c>
      <c r="K17" s="41" t="n">
        <v>54.2</v>
      </c>
      <c r="L17" s="80" t="n">
        <f aca="false">IFERROR((F17*$C$5+G17*$E$5+H17*$G$5+I17*$I$5+J17*$K$5+K17*$M$5)/$O$5,0)</f>
        <v>33.785</v>
      </c>
      <c r="M17" s="45" t="n">
        <f aca="false">RANK(L17,$L$9:$L$84,0)</f>
        <v>75</v>
      </c>
      <c r="N17" s="81"/>
    </row>
    <row r="18" customFormat="false" ht="15" hidden="false" customHeight="false" outlineLevel="0" collapsed="false">
      <c r="A18" s="35" t="s">
        <v>224</v>
      </c>
      <c r="B18" s="35" t="s">
        <v>184</v>
      </c>
      <c r="C18" s="50" t="s">
        <v>479</v>
      </c>
      <c r="D18" s="22" t="n">
        <v>0.776</v>
      </c>
      <c r="E18" s="79" t="n">
        <v>58</v>
      </c>
      <c r="F18" s="41" t="n">
        <v>24.5</v>
      </c>
      <c r="G18" s="41" t="n">
        <v>55.2</v>
      </c>
      <c r="H18" s="41" t="n">
        <v>45.3</v>
      </c>
      <c r="I18" s="41" t="n">
        <v>4.3</v>
      </c>
      <c r="J18" s="41" t="n">
        <v>28.4</v>
      </c>
      <c r="K18" s="41" t="n">
        <v>31</v>
      </c>
      <c r="L18" s="80" t="n">
        <f aca="false">IFERROR((F18*$C$5+G18*$E$5+H18*$G$5+I18*$I$5+J18*$K$5+K18*$M$5)/$O$5,0)</f>
        <v>31.96</v>
      </c>
      <c r="M18" s="45" t="n">
        <f aca="false">RANK(L18,$L$9:$L$84,0)</f>
        <v>76</v>
      </c>
      <c r="N18" s="81"/>
    </row>
    <row r="19" customFormat="false" ht="15" hidden="false" customHeight="false" outlineLevel="0" collapsed="false">
      <c r="A19" s="35" t="s">
        <v>229</v>
      </c>
      <c r="B19" s="35" t="s">
        <v>230</v>
      </c>
      <c r="C19" s="49" t="s">
        <v>478</v>
      </c>
      <c r="D19" s="22" t="n">
        <v>0.555</v>
      </c>
      <c r="E19" s="82" t="n">
        <v>55</v>
      </c>
      <c r="F19" s="41" t="n">
        <v>72.2</v>
      </c>
      <c r="G19" s="41" t="n">
        <v>79.2</v>
      </c>
      <c r="H19" s="41" t="n">
        <v>64.9</v>
      </c>
      <c r="I19" s="41" t="n">
        <v>32.6</v>
      </c>
      <c r="J19" s="41" t="n">
        <v>30.4</v>
      </c>
      <c r="K19" s="41" t="n">
        <v>64.8</v>
      </c>
      <c r="L19" s="80" t="n">
        <f aca="false">IFERROR((F19*$C$5+G19*$E$5+H19*$G$5+I19*$I$5+J19*$K$5+K19*$M$5)/$O$5,0)</f>
        <v>58.725</v>
      </c>
      <c r="M19" s="45" t="n">
        <f aca="false">RANK(L19,$L$9:$L$84,0)</f>
        <v>49</v>
      </c>
      <c r="N19" s="81"/>
    </row>
    <row r="20" customFormat="false" ht="15" hidden="false" customHeight="false" outlineLevel="0" collapsed="false">
      <c r="A20" s="35" t="s">
        <v>235</v>
      </c>
      <c r="B20" s="35" t="s">
        <v>236</v>
      </c>
      <c r="C20" s="49" t="s">
        <v>478</v>
      </c>
      <c r="D20" s="22" t="n">
        <v>0.598</v>
      </c>
      <c r="E20" s="82" t="n">
        <v>55</v>
      </c>
      <c r="F20" s="41" t="n">
        <v>62.9</v>
      </c>
      <c r="G20" s="41" t="n">
        <v>79.2</v>
      </c>
      <c r="H20" s="41" t="n">
        <v>64.9</v>
      </c>
      <c r="I20" s="41" t="n">
        <v>30.4</v>
      </c>
      <c r="J20" s="41" t="n">
        <v>30.4</v>
      </c>
      <c r="K20" s="41" t="n">
        <v>64.8</v>
      </c>
      <c r="L20" s="80" t="n">
        <f aca="false">IFERROR((F20*$C$5+G20*$E$5+H20*$G$5+I20*$I$5+J20*$K$5+K20*$M$5)/$O$5,0)</f>
        <v>56.18</v>
      </c>
      <c r="M20" s="45" t="n">
        <f aca="false">RANK(L20,$L$9:$L$84,0)</f>
        <v>53</v>
      </c>
      <c r="N20" s="81"/>
    </row>
    <row r="21" customFormat="false" ht="15" hidden="false" customHeight="false" outlineLevel="0" collapsed="false">
      <c r="A21" s="35" t="s">
        <v>238</v>
      </c>
      <c r="B21" s="35" t="s">
        <v>239</v>
      </c>
      <c r="C21" s="50" t="s">
        <v>479</v>
      </c>
      <c r="D21" s="22" t="n">
        <v>0.47</v>
      </c>
      <c r="E21" s="82" t="n">
        <v>57.5</v>
      </c>
      <c r="F21" s="41" t="n">
        <v>90.5</v>
      </c>
      <c r="G21" s="41" t="n">
        <v>33.2</v>
      </c>
      <c r="H21" s="41" t="n">
        <v>27.2</v>
      </c>
      <c r="I21" s="41" t="n">
        <v>41.3</v>
      </c>
      <c r="J21" s="41" t="n">
        <v>17.4</v>
      </c>
      <c r="K21" s="41" t="n">
        <v>41.7</v>
      </c>
      <c r="L21" s="80" t="n">
        <f aca="false">IFERROR((F21*$C$5+G21*$E$5+H21*$G$5+I21*$I$5+J21*$K$5+K21*$M$5)/$O$5,0)</f>
        <v>45.55</v>
      </c>
      <c r="M21" s="45" t="n">
        <f aca="false">RANK(L21,$L$9:$L$84,0)</f>
        <v>71</v>
      </c>
      <c r="N21" s="81"/>
    </row>
    <row r="22" customFormat="false" ht="15" hidden="false" customHeight="false" outlineLevel="0" collapsed="false">
      <c r="A22" s="35" t="s">
        <v>242</v>
      </c>
      <c r="B22" s="35" t="s">
        <v>239</v>
      </c>
      <c r="C22" s="50" t="s">
        <v>479</v>
      </c>
      <c r="D22" s="22" t="n">
        <v>0.446</v>
      </c>
      <c r="E22" s="82" t="n">
        <v>58.5</v>
      </c>
      <c r="F22" s="41" t="n">
        <v>95.6</v>
      </c>
      <c r="G22" s="41" t="n">
        <v>31.9</v>
      </c>
      <c r="H22" s="41" t="n">
        <v>26.2</v>
      </c>
      <c r="I22" s="41" t="n">
        <v>50</v>
      </c>
      <c r="J22" s="41" t="n">
        <v>17.4</v>
      </c>
      <c r="K22" s="41" t="n">
        <v>32.4</v>
      </c>
      <c r="L22" s="80" t="n">
        <f aca="false">IFERROR((F22*$C$5+G22*$E$5+H22*$G$5+I22*$I$5+J22*$K$5+K22*$M$5)/$O$5,0)</f>
        <v>45.955</v>
      </c>
      <c r="M22" s="45" t="n">
        <f aca="false">RANK(L22,$L$9:$L$84,0)</f>
        <v>70</v>
      </c>
      <c r="N22" s="81"/>
    </row>
    <row r="23" customFormat="false" ht="15" hidden="false" customHeight="false" outlineLevel="0" collapsed="false">
      <c r="A23" s="35" t="s">
        <v>244</v>
      </c>
      <c r="B23" s="35" t="s">
        <v>245</v>
      </c>
      <c r="C23" s="49" t="s">
        <v>478</v>
      </c>
      <c r="D23" s="22" t="n">
        <v>0.575</v>
      </c>
      <c r="E23" s="82" t="n">
        <v>62</v>
      </c>
      <c r="F23" s="41" t="n">
        <v>67.9</v>
      </c>
      <c r="G23" s="41" t="n">
        <v>79.2</v>
      </c>
      <c r="H23" s="41" t="n">
        <v>64.9</v>
      </c>
      <c r="I23" s="41" t="n">
        <v>23.9</v>
      </c>
      <c r="J23" s="41" t="n">
        <v>42.4</v>
      </c>
      <c r="K23" s="41" t="n">
        <v>0</v>
      </c>
      <c r="L23" s="80" t="n">
        <f aca="false">IFERROR((F23*$C$5+G23*$E$5+H23*$G$5+I23*$I$5+J23*$K$5+K23*$M$5)/$O$5,0)</f>
        <v>49.46</v>
      </c>
      <c r="M23" s="45" t="n">
        <f aca="false">RANK(L23,$L$9:$L$84,0)</f>
        <v>64</v>
      </c>
      <c r="N23" s="81"/>
    </row>
    <row r="24" customFormat="false" ht="15" hidden="false" customHeight="false" outlineLevel="0" collapsed="false">
      <c r="A24" s="35" t="s">
        <v>247</v>
      </c>
      <c r="B24" s="35" t="s">
        <v>248</v>
      </c>
      <c r="C24" s="49" t="s">
        <v>478</v>
      </c>
      <c r="D24" s="22" t="n">
        <v>0.587</v>
      </c>
      <c r="E24" s="79" t="n">
        <v>61.5</v>
      </c>
      <c r="F24" s="41" t="n">
        <v>65.2</v>
      </c>
      <c r="G24" s="41" t="n">
        <v>79.2</v>
      </c>
      <c r="H24" s="41" t="n">
        <v>43.4</v>
      </c>
      <c r="I24" s="41" t="n">
        <v>10.9</v>
      </c>
      <c r="J24" s="41" t="n">
        <v>42.4</v>
      </c>
      <c r="K24" s="41" t="n">
        <v>0</v>
      </c>
      <c r="L24" s="80" t="n">
        <f aca="false">IFERROR((F24*$C$5+G24*$E$5+H24*$G$5+I24*$I$5+J24*$K$5+K24*$M$5)/$O$5,0)</f>
        <v>44.26</v>
      </c>
      <c r="M24" s="45" t="n">
        <f aca="false">RANK(L24,$L$9:$L$84,0)</f>
        <v>72</v>
      </c>
      <c r="N24" s="81"/>
    </row>
    <row r="25" customFormat="false" ht="15" hidden="false" customHeight="false" outlineLevel="0" collapsed="false">
      <c r="A25" s="35" t="s">
        <v>253</v>
      </c>
      <c r="B25" s="35" t="s">
        <v>254</v>
      </c>
      <c r="C25" s="50" t="s">
        <v>479</v>
      </c>
      <c r="D25" s="22" t="n">
        <v>0.601</v>
      </c>
      <c r="E25" s="79" t="n">
        <v>61</v>
      </c>
      <c r="F25" s="41" t="n">
        <v>62.3</v>
      </c>
      <c r="G25" s="41" t="n">
        <v>52.6</v>
      </c>
      <c r="H25" s="41" t="n">
        <v>43.1</v>
      </c>
      <c r="I25" s="41" t="n">
        <v>21.7</v>
      </c>
      <c r="J25" s="41" t="n">
        <v>26.4</v>
      </c>
      <c r="K25" s="41" t="n">
        <v>0</v>
      </c>
      <c r="L25" s="80" t="n">
        <f aca="false">IFERROR((F25*$C$5+G25*$E$5+H25*$G$5+I25*$I$5+J25*$K$5+K25*$M$5)/$O$5,0)</f>
        <v>37.38</v>
      </c>
      <c r="M25" s="45" t="n">
        <f aca="false">RANK(L25,$L$9:$L$84,0)</f>
        <v>74</v>
      </c>
      <c r="N25" s="81"/>
    </row>
    <row r="26" customFormat="false" ht="15" hidden="false" customHeight="false" outlineLevel="0" collapsed="false">
      <c r="A26" s="35" t="s">
        <v>257</v>
      </c>
      <c r="B26" s="35" t="s">
        <v>236</v>
      </c>
      <c r="C26" s="50" t="s">
        <v>479</v>
      </c>
      <c r="D26" s="22" t="n">
        <v>0.537</v>
      </c>
      <c r="E26" s="79" t="n">
        <v>57</v>
      </c>
      <c r="F26" s="41" t="n">
        <v>76</v>
      </c>
      <c r="G26" s="41" t="n">
        <v>33.2</v>
      </c>
      <c r="H26" s="41" t="n">
        <v>27.2</v>
      </c>
      <c r="I26" s="41" t="n">
        <v>45.7</v>
      </c>
      <c r="J26" s="41" t="n">
        <v>50.7</v>
      </c>
      <c r="K26" s="41" t="n">
        <v>46.3</v>
      </c>
      <c r="L26" s="80" t="n">
        <f aca="false">IFERROR((F26*$C$5+G26*$E$5+H26*$G$5+I26*$I$5+J26*$K$5+K26*$M$5)/$O$5,0)</f>
        <v>49.715</v>
      </c>
      <c r="M26" s="45" t="n">
        <f aca="false">RANK(L26,$L$9:$L$84,0)</f>
        <v>63</v>
      </c>
      <c r="N26" s="81"/>
    </row>
    <row r="27" customFormat="false" ht="15" hidden="false" customHeight="false" outlineLevel="0" collapsed="false">
      <c r="A27" s="35" t="s">
        <v>259</v>
      </c>
      <c r="B27" s="35" t="s">
        <v>236</v>
      </c>
      <c r="C27" s="49" t="s">
        <v>478</v>
      </c>
      <c r="D27" s="22" t="n">
        <v>0.536</v>
      </c>
      <c r="E27" s="79" t="n">
        <v>54.9</v>
      </c>
      <c r="F27" s="41" t="n">
        <v>76.3</v>
      </c>
      <c r="G27" s="41" t="n">
        <v>77.5</v>
      </c>
      <c r="H27" s="41" t="n">
        <v>63.5</v>
      </c>
      <c r="I27" s="41" t="n">
        <v>41.3</v>
      </c>
      <c r="J27" s="41" t="n">
        <v>51.6</v>
      </c>
      <c r="K27" s="41" t="n">
        <v>65.7</v>
      </c>
      <c r="L27" s="80" t="n">
        <f aca="false">IFERROR((F27*$C$5+G27*$E$5+H27*$G$5+I27*$I$5+J27*$K$5+K27*$M$5)/$O$5,0)</f>
        <v>64.53</v>
      </c>
      <c r="M27" s="45" t="n">
        <f aca="false">RANK(L27,$L$9:$L$84,0)</f>
        <v>41</v>
      </c>
      <c r="N27" s="81"/>
    </row>
    <row r="28" customFormat="false" ht="15" hidden="false" customHeight="false" outlineLevel="0" collapsed="false">
      <c r="A28" s="35" t="s">
        <v>262</v>
      </c>
      <c r="B28" s="35" t="s">
        <v>236</v>
      </c>
      <c r="C28" s="49" t="s">
        <v>478</v>
      </c>
      <c r="D28" s="22" t="n">
        <v>0.529</v>
      </c>
      <c r="E28" s="79" t="n">
        <v>53.4</v>
      </c>
      <c r="F28" s="41" t="n">
        <v>77.7</v>
      </c>
      <c r="G28" s="41" t="n">
        <v>77.5</v>
      </c>
      <c r="H28" s="41" t="n">
        <v>63.5</v>
      </c>
      <c r="I28" s="41" t="n">
        <v>41.3</v>
      </c>
      <c r="J28" s="41" t="n">
        <v>33</v>
      </c>
      <c r="K28" s="41" t="n">
        <v>79.6</v>
      </c>
      <c r="L28" s="80" t="n">
        <f aca="false">IFERROR((F28*$C$5+G28*$E$5+H28*$G$5+I28*$I$5+J28*$K$5+K28*$M$5)/$O$5,0)</f>
        <v>63.245</v>
      </c>
      <c r="M28" s="45" t="n">
        <f aca="false">RANK(L28,$L$9:$L$84,0)</f>
        <v>42</v>
      </c>
      <c r="N28" s="81"/>
    </row>
    <row r="29" customFormat="false" ht="15" hidden="false" customHeight="false" outlineLevel="0" collapsed="false">
      <c r="A29" s="35" t="s">
        <v>264</v>
      </c>
      <c r="B29" s="35" t="s">
        <v>265</v>
      </c>
      <c r="C29" s="37" t="s">
        <v>477</v>
      </c>
      <c r="D29" s="22" t="n">
        <v>0.572</v>
      </c>
      <c r="E29" s="79" t="n">
        <v>58.2</v>
      </c>
      <c r="F29" s="41" t="n">
        <v>68.6</v>
      </c>
      <c r="G29" s="41" t="n">
        <v>89.2</v>
      </c>
      <c r="H29" s="41" t="n">
        <v>73.1</v>
      </c>
      <c r="I29" s="41" t="n">
        <v>23.9</v>
      </c>
      <c r="J29" s="41" t="n">
        <v>89.4</v>
      </c>
      <c r="K29" s="41" t="n">
        <v>35.2</v>
      </c>
      <c r="L29" s="80" t="n">
        <f aca="false">IFERROR((F29*$C$5+G29*$E$5+H29*$G$5+I29*$I$5+J29*$K$5+K29*$M$5)/$O$5,0)</f>
        <v>67.045</v>
      </c>
      <c r="M29" s="45" t="n">
        <f aca="false">RANK(L29,$L$9:$L$84,0)</f>
        <v>35</v>
      </c>
      <c r="N29" s="81"/>
    </row>
    <row r="30" customFormat="false" ht="15" hidden="false" customHeight="false" outlineLevel="0" collapsed="false">
      <c r="A30" s="35" t="s">
        <v>267</v>
      </c>
      <c r="B30" s="35" t="s">
        <v>236</v>
      </c>
      <c r="C30" s="37" t="s">
        <v>477</v>
      </c>
      <c r="D30" s="22" t="n">
        <v>0.58</v>
      </c>
      <c r="E30" s="79" t="n">
        <v>51.2</v>
      </c>
      <c r="F30" s="41" t="n">
        <v>66.8</v>
      </c>
      <c r="G30" s="41" t="n">
        <v>100</v>
      </c>
      <c r="H30" s="41" t="n">
        <v>82</v>
      </c>
      <c r="I30" s="41" t="n">
        <v>71.7</v>
      </c>
      <c r="J30" s="41" t="n">
        <v>100</v>
      </c>
      <c r="K30" s="41" t="n">
        <v>100</v>
      </c>
      <c r="L30" s="80" t="n">
        <f aca="false">IFERROR((F30*$C$5+G30*$E$5+H30*$G$5+I30*$I$5+J30*$K$5+K30*$M$5)/$O$5,0)</f>
        <v>86.17</v>
      </c>
      <c r="M30" s="45" t="n">
        <f aca="false">RANK(L30,$L$9:$L$84,0)</f>
        <v>3</v>
      </c>
      <c r="N30" s="53" t="s">
        <v>189</v>
      </c>
    </row>
    <row r="31" customFormat="false" ht="15" hidden="false" customHeight="false" outlineLevel="0" collapsed="false">
      <c r="A31" s="35" t="s">
        <v>270</v>
      </c>
      <c r="B31" s="35" t="s">
        <v>236</v>
      </c>
      <c r="C31" s="37" t="s">
        <v>477</v>
      </c>
      <c r="D31" s="22" t="n">
        <v>0.548</v>
      </c>
      <c r="E31" s="79" t="n">
        <v>52.6</v>
      </c>
      <c r="F31" s="41" t="n">
        <v>73.6</v>
      </c>
      <c r="G31" s="41" t="n">
        <v>95.5</v>
      </c>
      <c r="H31" s="41" t="n">
        <v>69.3</v>
      </c>
      <c r="I31" s="41" t="n">
        <v>56.5</v>
      </c>
      <c r="J31" s="41" t="n">
        <v>100</v>
      </c>
      <c r="K31" s="41" t="n">
        <v>87</v>
      </c>
      <c r="L31" s="80" t="n">
        <f aca="false">IFERROR((F31*$C$5+G31*$E$5+H31*$G$5+I31*$I$5+J31*$K$5+K31*$M$5)/$O$5,0)</f>
        <v>81.82</v>
      </c>
      <c r="M31" s="45" t="n">
        <f aca="false">RANK(L31,$L$9:$L$84,0)</f>
        <v>5</v>
      </c>
      <c r="N31" s="81"/>
    </row>
    <row r="32" customFormat="false" ht="15" hidden="false" customHeight="false" outlineLevel="0" collapsed="false">
      <c r="A32" s="35" t="s">
        <v>273</v>
      </c>
      <c r="B32" s="35" t="s">
        <v>236</v>
      </c>
      <c r="C32" s="37" t="s">
        <v>477</v>
      </c>
      <c r="D32" s="22" t="n">
        <v>0.517</v>
      </c>
      <c r="E32" s="79" t="n">
        <v>52.6</v>
      </c>
      <c r="F32" s="41" t="n">
        <v>80.2</v>
      </c>
      <c r="G32" s="41" t="n">
        <v>100</v>
      </c>
      <c r="H32" s="41" t="n">
        <v>91.6</v>
      </c>
      <c r="I32" s="41" t="n">
        <v>80.4</v>
      </c>
      <c r="J32" s="41" t="n">
        <v>100</v>
      </c>
      <c r="K32" s="41" t="n">
        <v>87</v>
      </c>
      <c r="L32" s="80" t="n">
        <f aca="false">IFERROR((F32*$C$5+G32*$E$5+H32*$G$5+I32*$I$5+J32*$K$5+K32*$M$5)/$O$5,0)</f>
        <v>89.88</v>
      </c>
      <c r="M32" s="45" t="n">
        <f aca="false">RANK(L32,$L$9:$L$84,0)</f>
        <v>1</v>
      </c>
      <c r="N32" s="53" t="s">
        <v>189</v>
      </c>
    </row>
    <row r="33" customFormat="false" ht="15" hidden="false" customHeight="false" outlineLevel="0" collapsed="false">
      <c r="A33" s="35" t="s">
        <v>276</v>
      </c>
      <c r="B33" s="35" t="s">
        <v>236</v>
      </c>
      <c r="C33" s="49" t="s">
        <v>478</v>
      </c>
      <c r="D33" s="22" t="n">
        <v>0.556</v>
      </c>
      <c r="E33" s="79" t="n">
        <v>53.9</v>
      </c>
      <c r="F33" s="41" t="n">
        <v>72</v>
      </c>
      <c r="G33" s="41" t="n">
        <v>77.5</v>
      </c>
      <c r="H33" s="41" t="n">
        <v>63.5</v>
      </c>
      <c r="I33" s="41" t="n">
        <v>41.3</v>
      </c>
      <c r="J33" s="41" t="n">
        <v>68.2</v>
      </c>
      <c r="K33" s="41" t="n">
        <v>75</v>
      </c>
      <c r="L33" s="80" t="n">
        <f aca="false">IFERROR((F33*$C$5+G33*$E$5+H33*$G$5+I33*$I$5+J33*$K$5+K33*$M$5)/$O$5,0)</f>
        <v>68.17</v>
      </c>
      <c r="M33" s="45" t="n">
        <f aca="false">RANK(L33,$L$9:$L$84,0)</f>
        <v>32</v>
      </c>
      <c r="N33" s="81"/>
    </row>
    <row r="34" customFormat="false" ht="15" hidden="false" customHeight="false" outlineLevel="0" collapsed="false">
      <c r="A34" s="35" t="s">
        <v>279</v>
      </c>
      <c r="B34" s="35" t="s">
        <v>236</v>
      </c>
      <c r="C34" s="49" t="s">
        <v>478</v>
      </c>
      <c r="D34" s="22" t="n">
        <v>0.549</v>
      </c>
      <c r="E34" s="79" t="n">
        <v>54.4</v>
      </c>
      <c r="F34" s="41" t="n">
        <v>73.4</v>
      </c>
      <c r="G34" s="41" t="n">
        <v>77.5</v>
      </c>
      <c r="H34" s="41" t="n">
        <v>63.5</v>
      </c>
      <c r="I34" s="41" t="n">
        <v>41.3</v>
      </c>
      <c r="J34" s="41" t="n">
        <v>66.7</v>
      </c>
      <c r="K34" s="41" t="n">
        <v>70.4</v>
      </c>
      <c r="L34" s="80" t="n">
        <f aca="false">IFERROR((F34*$C$5+G34*$E$5+H34*$G$5+I34*$I$5+J34*$K$5+K34*$M$5)/$O$5,0)</f>
        <v>67.53</v>
      </c>
      <c r="M34" s="45" t="n">
        <f aca="false">RANK(L34,$L$9:$L$84,0)</f>
        <v>33</v>
      </c>
      <c r="N34" s="81"/>
    </row>
    <row r="35" customFormat="false" ht="15" hidden="false" customHeight="false" outlineLevel="0" collapsed="false">
      <c r="A35" s="35" t="s">
        <v>282</v>
      </c>
      <c r="B35" s="35" t="s">
        <v>236</v>
      </c>
      <c r="C35" s="49" t="s">
        <v>478</v>
      </c>
      <c r="D35" s="22" t="n">
        <v>0.513</v>
      </c>
      <c r="E35" s="82" t="n">
        <v>56</v>
      </c>
      <c r="F35" s="41" t="n">
        <v>81.1</v>
      </c>
      <c r="G35" s="41" t="n">
        <v>70.5</v>
      </c>
      <c r="H35" s="41" t="n">
        <v>57.8</v>
      </c>
      <c r="I35" s="41" t="n">
        <v>43.5</v>
      </c>
      <c r="J35" s="41" t="n">
        <v>65.2</v>
      </c>
      <c r="K35" s="41" t="n">
        <v>55.6</v>
      </c>
      <c r="L35" s="80" t="n">
        <f aca="false">IFERROR((F35*$C$5+G35*$E$5+H35*$G$5+I35*$I$5+J35*$K$5+K35*$M$5)/$O$5,0)</f>
        <v>65.25</v>
      </c>
      <c r="M35" s="45" t="n">
        <f aca="false">RANK(L35,$L$9:$L$84,0)</f>
        <v>39</v>
      </c>
      <c r="N35" s="81"/>
    </row>
    <row r="36" customFormat="false" ht="15" hidden="false" customHeight="false" outlineLevel="0" collapsed="false">
      <c r="A36" s="35" t="s">
        <v>284</v>
      </c>
      <c r="B36" s="35" t="s">
        <v>236</v>
      </c>
      <c r="C36" s="50" t="s">
        <v>479</v>
      </c>
      <c r="D36" s="22" t="n">
        <v>0.582</v>
      </c>
      <c r="E36" s="79" t="n">
        <v>57.4</v>
      </c>
      <c r="F36" s="41" t="n">
        <v>66.2</v>
      </c>
      <c r="G36" s="41" t="n">
        <v>53.5</v>
      </c>
      <c r="H36" s="41" t="n">
        <v>43.9</v>
      </c>
      <c r="I36" s="41" t="n">
        <v>52.2</v>
      </c>
      <c r="J36" s="41" t="n">
        <v>49.2</v>
      </c>
      <c r="K36" s="41" t="n">
        <v>42.6</v>
      </c>
      <c r="L36" s="80" t="n">
        <f aca="false">IFERROR((F36*$C$5+G36*$E$5+H36*$G$5+I36*$I$5+J36*$K$5+K36*$M$5)/$O$5,0)</f>
        <v>52.61</v>
      </c>
      <c r="M36" s="45" t="n">
        <f aca="false">RANK(L36,$L$9:$L$84,0)</f>
        <v>62</v>
      </c>
      <c r="N36" s="81"/>
    </row>
    <row r="37" customFormat="false" ht="15" hidden="false" customHeight="false" outlineLevel="0" collapsed="false">
      <c r="A37" s="35" t="s">
        <v>286</v>
      </c>
      <c r="B37" s="35" t="s">
        <v>236</v>
      </c>
      <c r="C37" s="49" t="s">
        <v>478</v>
      </c>
      <c r="D37" s="22" t="n">
        <v>0.525</v>
      </c>
      <c r="E37" s="79" t="n">
        <v>57.5</v>
      </c>
      <c r="F37" s="41" t="n">
        <v>78.6</v>
      </c>
      <c r="G37" s="41" t="n">
        <v>56.5</v>
      </c>
      <c r="H37" s="41" t="n">
        <v>46.3</v>
      </c>
      <c r="I37" s="41" t="n">
        <v>34.8</v>
      </c>
      <c r="J37" s="41" t="n">
        <v>87.5</v>
      </c>
      <c r="K37" s="41" t="n">
        <v>41.7</v>
      </c>
      <c r="L37" s="80" t="n">
        <f aca="false">IFERROR((F37*$C$5+G37*$E$5+H37*$G$5+I37*$I$5+J37*$K$5+K37*$M$5)/$O$5,0)</f>
        <v>62.305</v>
      </c>
      <c r="M37" s="45" t="n">
        <f aca="false">RANK(L37,$L$9:$L$84,0)</f>
        <v>44</v>
      </c>
      <c r="N37" s="81"/>
    </row>
    <row r="38" customFormat="false" ht="15" hidden="false" customHeight="false" outlineLevel="0" collapsed="false">
      <c r="A38" s="35" t="s">
        <v>288</v>
      </c>
      <c r="B38" s="35" t="s">
        <v>236</v>
      </c>
      <c r="C38" s="49" t="s">
        <v>478</v>
      </c>
      <c r="D38" s="22" t="n">
        <v>0.529</v>
      </c>
      <c r="E38" s="79" t="n">
        <v>56.3</v>
      </c>
      <c r="F38" s="41" t="n">
        <v>77.8</v>
      </c>
      <c r="G38" s="41" t="n">
        <v>77.5</v>
      </c>
      <c r="H38" s="41" t="n">
        <v>63.5</v>
      </c>
      <c r="I38" s="41" t="n">
        <v>37</v>
      </c>
      <c r="J38" s="41" t="n">
        <v>80.4</v>
      </c>
      <c r="K38" s="41" t="n">
        <v>52.8</v>
      </c>
      <c r="L38" s="80" t="n">
        <f aca="false">IFERROR((F38*$C$5+G38*$E$5+H38*$G$5+I38*$I$5+J38*$K$5+K38*$M$5)/$O$5,0)</f>
        <v>68.3</v>
      </c>
      <c r="M38" s="45" t="n">
        <f aca="false">RANK(L38,$L$9:$L$84,0)</f>
        <v>31</v>
      </c>
      <c r="N38" s="81"/>
    </row>
    <row r="39" customFormat="false" ht="15" hidden="false" customHeight="false" outlineLevel="0" collapsed="false">
      <c r="A39" s="35" t="s">
        <v>290</v>
      </c>
      <c r="B39" s="35" t="s">
        <v>236</v>
      </c>
      <c r="C39" s="49" t="s">
        <v>478</v>
      </c>
      <c r="D39" s="22" t="n">
        <v>0.535</v>
      </c>
      <c r="E39" s="79" t="n">
        <v>53.9</v>
      </c>
      <c r="F39" s="41" t="n">
        <v>76.4</v>
      </c>
      <c r="G39" s="41" t="n">
        <v>77.5</v>
      </c>
      <c r="H39" s="41" t="n">
        <v>63.5</v>
      </c>
      <c r="I39" s="41" t="n">
        <v>37</v>
      </c>
      <c r="J39" s="41" t="n">
        <v>49.6</v>
      </c>
      <c r="K39" s="41" t="n">
        <v>75</v>
      </c>
      <c r="L39" s="80" t="n">
        <f aca="false">IFERROR((F39*$C$5+G39*$E$5+H39*$G$5+I39*$I$5+J39*$K$5+K39*$M$5)/$O$5,0)</f>
        <v>65.12</v>
      </c>
      <c r="M39" s="45" t="n">
        <f aca="false">RANK(L39,$L$9:$L$84,0)</f>
        <v>40</v>
      </c>
      <c r="N39" s="81"/>
    </row>
    <row r="40" customFormat="false" ht="15" hidden="false" customHeight="false" outlineLevel="0" collapsed="false">
      <c r="A40" s="35" t="s">
        <v>292</v>
      </c>
      <c r="B40" s="35" t="s">
        <v>236</v>
      </c>
      <c r="C40" s="49" t="s">
        <v>478</v>
      </c>
      <c r="D40" s="22" t="n">
        <v>0.561</v>
      </c>
      <c r="E40" s="79" t="n">
        <v>56.5</v>
      </c>
      <c r="F40" s="41" t="n">
        <v>70.8</v>
      </c>
      <c r="G40" s="41" t="n">
        <v>79.2</v>
      </c>
      <c r="H40" s="41" t="n">
        <v>64.9</v>
      </c>
      <c r="I40" s="41" t="n">
        <v>32.6</v>
      </c>
      <c r="J40" s="41" t="n">
        <v>25.4</v>
      </c>
      <c r="K40" s="41" t="n">
        <v>50.9</v>
      </c>
      <c r="L40" s="80" t="n">
        <f aca="false">IFERROR((F40*$C$5+G40*$E$5+H40*$G$5+I40*$I$5+J40*$K$5+K40*$M$5)/$O$5,0)</f>
        <v>55.29</v>
      </c>
      <c r="M40" s="45" t="n">
        <f aca="false">RANK(L40,$L$9:$L$84,0)</f>
        <v>55</v>
      </c>
      <c r="N40" s="81"/>
    </row>
    <row r="41" customFormat="false" ht="15" hidden="false" customHeight="false" outlineLevel="0" collapsed="false">
      <c r="A41" s="35" t="s">
        <v>294</v>
      </c>
      <c r="B41" s="35" t="s">
        <v>265</v>
      </c>
      <c r="C41" s="49" t="s">
        <v>478</v>
      </c>
      <c r="D41" s="22" t="n">
        <v>0.483</v>
      </c>
      <c r="E41" s="79" t="n">
        <v>56.7</v>
      </c>
      <c r="F41" s="41" t="n">
        <v>87.6</v>
      </c>
      <c r="G41" s="41" t="n">
        <v>60.9</v>
      </c>
      <c r="H41" s="41" t="n">
        <v>60.9</v>
      </c>
      <c r="I41" s="41" t="n">
        <v>58.7</v>
      </c>
      <c r="J41" s="41" t="n">
        <v>95.5</v>
      </c>
      <c r="K41" s="41" t="n">
        <v>49.1</v>
      </c>
      <c r="L41" s="80" t="n">
        <f aca="false">IFERROR((F41*$C$5+G41*$E$5+H41*$G$5+I41*$I$5+J41*$K$5+K41*$M$5)/$O$5,0)</f>
        <v>72.505</v>
      </c>
      <c r="M41" s="45" t="n">
        <f aca="false">RANK(L41,$L$9:$L$84,0)</f>
        <v>20</v>
      </c>
      <c r="N41" s="81"/>
    </row>
    <row r="42" customFormat="false" ht="15" hidden="false" customHeight="false" outlineLevel="0" collapsed="false">
      <c r="A42" s="35" t="s">
        <v>297</v>
      </c>
      <c r="B42" s="35" t="s">
        <v>239</v>
      </c>
      <c r="C42" s="49" t="s">
        <v>478</v>
      </c>
      <c r="D42" s="22" t="n">
        <v>0.459</v>
      </c>
      <c r="E42" s="79" t="n">
        <v>57.6</v>
      </c>
      <c r="F42" s="41" t="n">
        <v>92.8</v>
      </c>
      <c r="G42" s="41" t="n">
        <v>60.9</v>
      </c>
      <c r="H42" s="41" t="n">
        <v>49.9</v>
      </c>
      <c r="I42" s="41" t="n">
        <v>67.4</v>
      </c>
      <c r="J42" s="41" t="n">
        <v>95.5</v>
      </c>
      <c r="K42" s="41" t="n">
        <v>40.7</v>
      </c>
      <c r="L42" s="80" t="n">
        <f aca="false">IFERROR((F42*$C$5+G42*$E$5+H42*$G$5+I42*$I$5+J42*$K$5+K42*$M$5)/$O$5,0)</f>
        <v>71.765</v>
      </c>
      <c r="M42" s="45" t="n">
        <f aca="false">RANK(L42,$L$9:$L$84,0)</f>
        <v>23</v>
      </c>
      <c r="N42" s="81"/>
    </row>
    <row r="43" customFormat="false" ht="15" hidden="false" customHeight="false" outlineLevel="0" collapsed="false">
      <c r="A43" s="35" t="s">
        <v>299</v>
      </c>
      <c r="B43" s="35" t="s">
        <v>239</v>
      </c>
      <c r="C43" s="37" t="s">
        <v>477</v>
      </c>
      <c r="D43" s="22" t="n">
        <v>0.473</v>
      </c>
      <c r="E43" s="79" t="n">
        <v>54.9</v>
      </c>
      <c r="F43" s="41" t="n">
        <v>89.9</v>
      </c>
      <c r="G43" s="41" t="n">
        <v>94.1</v>
      </c>
      <c r="H43" s="41" t="n">
        <v>77.2</v>
      </c>
      <c r="I43" s="41" t="n">
        <v>63</v>
      </c>
      <c r="J43" s="41" t="n">
        <v>65.2</v>
      </c>
      <c r="K43" s="41" t="n">
        <v>65.7</v>
      </c>
      <c r="L43" s="80" t="n">
        <f aca="false">IFERROR((F43*$C$5+G43*$E$5+H43*$G$5+I43*$I$5+J43*$K$5+K43*$M$5)/$O$5,0)</f>
        <v>77.365</v>
      </c>
      <c r="M43" s="45" t="n">
        <f aca="false">RANK(L43,$L$9:$L$84,0)</f>
        <v>11</v>
      </c>
      <c r="N43" s="53" t="s">
        <v>189</v>
      </c>
    </row>
    <row r="44" customFormat="false" ht="15" hidden="false" customHeight="false" outlineLevel="0" collapsed="false">
      <c r="A44" s="35" t="s">
        <v>301</v>
      </c>
      <c r="B44" s="35" t="s">
        <v>239</v>
      </c>
      <c r="C44" s="50" t="s">
        <v>479</v>
      </c>
      <c r="D44" s="22" t="n">
        <v>0.459</v>
      </c>
      <c r="E44" s="79" t="n">
        <v>53.8</v>
      </c>
      <c r="F44" s="41" t="n">
        <v>92.7</v>
      </c>
      <c r="G44" s="41" t="n">
        <v>30.1</v>
      </c>
      <c r="H44" s="41" t="n">
        <v>24.7</v>
      </c>
      <c r="I44" s="41" t="n">
        <v>63</v>
      </c>
      <c r="J44" s="41" t="n">
        <v>56.4</v>
      </c>
      <c r="K44" s="41" t="n">
        <v>75.9</v>
      </c>
      <c r="L44" s="80" t="n">
        <f aca="false">IFERROR((F44*$C$5+G44*$E$5+H44*$G$5+I44*$I$5+J44*$K$5+K44*$M$5)/$O$5,0)</f>
        <v>60.36</v>
      </c>
      <c r="M44" s="45" t="n">
        <f aca="false">RANK(L44,$L$9:$L$84,0)</f>
        <v>47</v>
      </c>
      <c r="N44" s="53" t="s">
        <v>189</v>
      </c>
    </row>
    <row r="45" customFormat="false" ht="15" hidden="false" customHeight="false" outlineLevel="0" collapsed="false">
      <c r="A45" s="35" t="s">
        <v>303</v>
      </c>
      <c r="B45" s="35" t="s">
        <v>239</v>
      </c>
      <c r="C45" s="49" t="s">
        <v>478</v>
      </c>
      <c r="D45" s="22" t="n">
        <v>0.457</v>
      </c>
      <c r="E45" s="79" t="n">
        <v>55.5</v>
      </c>
      <c r="F45" s="41" t="n">
        <v>93.3</v>
      </c>
      <c r="G45" s="41" t="n">
        <v>76.1</v>
      </c>
      <c r="H45" s="41" t="n">
        <v>62.4</v>
      </c>
      <c r="I45" s="41" t="n">
        <v>58.7</v>
      </c>
      <c r="J45" s="41" t="n">
        <v>64.7</v>
      </c>
      <c r="K45" s="41" t="n">
        <v>60.2</v>
      </c>
      <c r="L45" s="80" t="n">
        <f aca="false">IFERROR((F45*$C$5+G45*$E$5+H45*$G$5+I45*$I$5+J45*$K$5+K45*$M$5)/$O$5,0)</f>
        <v>71.94</v>
      </c>
      <c r="M45" s="45" t="n">
        <f aca="false">RANK(L45,$L$9:$L$84,0)</f>
        <v>22</v>
      </c>
      <c r="N45" s="81"/>
    </row>
    <row r="46" customFormat="false" ht="15" hidden="false" customHeight="false" outlineLevel="0" collapsed="false">
      <c r="A46" s="35" t="s">
        <v>305</v>
      </c>
      <c r="B46" s="35" t="s">
        <v>265</v>
      </c>
      <c r="C46" s="49" t="s">
        <v>478</v>
      </c>
      <c r="D46" s="22" t="n">
        <v>0.486</v>
      </c>
      <c r="E46" s="79" t="n">
        <v>58.4</v>
      </c>
      <c r="F46" s="41" t="n">
        <v>87.1</v>
      </c>
      <c r="G46" s="41" t="n">
        <v>60</v>
      </c>
      <c r="H46" s="41" t="n">
        <v>49.2</v>
      </c>
      <c r="I46" s="41" t="n">
        <v>50</v>
      </c>
      <c r="J46" s="41" t="n">
        <v>64.7</v>
      </c>
      <c r="K46" s="41" t="n">
        <v>33.3</v>
      </c>
      <c r="L46" s="80" t="n">
        <f aca="false">IFERROR((F46*$C$5+G46*$E$5+H46*$G$5+I46*$I$5+J46*$K$5+K46*$M$5)/$O$5,0)</f>
        <v>61.09</v>
      </c>
      <c r="M46" s="45" t="n">
        <f aca="false">RANK(L46,$L$9:$L$84,0)</f>
        <v>46</v>
      </c>
      <c r="N46" s="81"/>
    </row>
    <row r="47" customFormat="false" ht="15" hidden="false" customHeight="false" outlineLevel="0" collapsed="false">
      <c r="A47" s="35" t="s">
        <v>307</v>
      </c>
      <c r="B47" s="35" t="s">
        <v>239</v>
      </c>
      <c r="C47" s="49" t="s">
        <v>478</v>
      </c>
      <c r="D47" s="22" t="n">
        <v>0.45</v>
      </c>
      <c r="E47" s="79" t="n">
        <v>54.4</v>
      </c>
      <c r="F47" s="41" t="n">
        <v>94.7</v>
      </c>
      <c r="G47" s="41" t="n">
        <v>76.1</v>
      </c>
      <c r="H47" s="41" t="n">
        <v>62.4</v>
      </c>
      <c r="I47" s="41" t="n">
        <v>58.7</v>
      </c>
      <c r="J47" s="41" t="n">
        <v>66.2</v>
      </c>
      <c r="K47" s="41" t="n">
        <v>70.4</v>
      </c>
      <c r="L47" s="80" t="n">
        <f aca="false">IFERROR((F47*$C$5+G47*$E$5+H47*$G$5+I47*$I$5+J47*$K$5+K47*$M$5)/$O$5,0)</f>
        <v>74.12</v>
      </c>
      <c r="M47" s="45" t="n">
        <f aca="false">RANK(L47,$L$9:$L$84,0)</f>
        <v>19</v>
      </c>
      <c r="N47" s="53" t="s">
        <v>189</v>
      </c>
    </row>
    <row r="48" customFormat="false" ht="15" hidden="false" customHeight="false" outlineLevel="0" collapsed="false">
      <c r="A48" s="35" t="s">
        <v>309</v>
      </c>
      <c r="B48" s="35" t="s">
        <v>236</v>
      </c>
      <c r="C48" s="49" t="s">
        <v>478</v>
      </c>
      <c r="D48" s="22" t="n">
        <v>0.486</v>
      </c>
      <c r="E48" s="79" t="n">
        <v>54.3</v>
      </c>
      <c r="F48" s="41" t="n">
        <v>87.1</v>
      </c>
      <c r="G48" s="41" t="n">
        <v>60</v>
      </c>
      <c r="H48" s="41" t="n">
        <v>49.2</v>
      </c>
      <c r="I48" s="41" t="n">
        <v>50</v>
      </c>
      <c r="J48" s="41" t="n">
        <v>66.2</v>
      </c>
      <c r="K48" s="41" t="n">
        <v>71.3</v>
      </c>
      <c r="L48" s="80" t="n">
        <f aca="false">IFERROR((F48*$C$5+G48*$E$5+H48*$G$5+I48*$I$5+J48*$K$5+K48*$M$5)/$O$5,0)</f>
        <v>67.09</v>
      </c>
      <c r="M48" s="45" t="n">
        <f aca="false">RANK(L48,$L$9:$L$84,0)</f>
        <v>34</v>
      </c>
      <c r="N48" s="81"/>
    </row>
    <row r="49" customFormat="false" ht="15" hidden="false" customHeight="false" outlineLevel="0" collapsed="false">
      <c r="A49" s="35" t="s">
        <v>311</v>
      </c>
      <c r="B49" s="35" t="s">
        <v>265</v>
      </c>
      <c r="C49" s="49" t="s">
        <v>478</v>
      </c>
      <c r="D49" s="22" t="n">
        <v>0.486</v>
      </c>
      <c r="E49" s="79" t="n">
        <v>54.2</v>
      </c>
      <c r="F49" s="41" t="n">
        <v>87.1</v>
      </c>
      <c r="G49" s="41" t="n">
        <v>70.5</v>
      </c>
      <c r="H49" s="41" t="n">
        <v>57.8</v>
      </c>
      <c r="I49" s="41" t="n">
        <v>50</v>
      </c>
      <c r="J49" s="41" t="n">
        <v>62.7</v>
      </c>
      <c r="K49" s="41" t="n">
        <v>72.2</v>
      </c>
      <c r="L49" s="80" t="n">
        <f aca="false">IFERROR((F49*$C$5+G49*$E$5+H49*$G$5+I49*$I$5+J49*$K$5+K49*$M$5)/$O$5,0)</f>
        <v>69.39</v>
      </c>
      <c r="M49" s="45" t="n">
        <f aca="false">RANK(L49,$L$9:$L$84,0)</f>
        <v>27</v>
      </c>
      <c r="N49" s="53" t="s">
        <v>189</v>
      </c>
    </row>
    <row r="50" customFormat="false" ht="15" hidden="false" customHeight="false" outlineLevel="0" collapsed="false">
      <c r="A50" s="35" t="s">
        <v>313</v>
      </c>
      <c r="B50" s="35" t="s">
        <v>239</v>
      </c>
      <c r="C50" s="49" t="s">
        <v>478</v>
      </c>
      <c r="D50" s="22" t="n">
        <v>0.437</v>
      </c>
      <c r="E50" s="79" t="n">
        <v>58.3</v>
      </c>
      <c r="F50" s="41" t="n">
        <v>97.5</v>
      </c>
      <c r="G50" s="41" t="n">
        <v>70.5</v>
      </c>
      <c r="H50" s="41" t="n">
        <v>57.8</v>
      </c>
      <c r="I50" s="41" t="n">
        <v>58.7</v>
      </c>
      <c r="J50" s="41" t="n">
        <v>53.6</v>
      </c>
      <c r="K50" s="41" t="n">
        <v>34.3</v>
      </c>
      <c r="L50" s="80" t="n">
        <f aca="false">IFERROR((F50*$C$5+G50*$E$5+H50*$G$5+I50*$I$5+J50*$K$5+K50*$M$5)/$O$5,0)</f>
        <v>65.355</v>
      </c>
      <c r="M50" s="45" t="n">
        <f aca="false">RANK(L50,$L$9:$L$84,0)</f>
        <v>37</v>
      </c>
      <c r="N50" s="53" t="s">
        <v>189</v>
      </c>
    </row>
    <row r="51" customFormat="false" ht="15" hidden="false" customHeight="false" outlineLevel="0" collapsed="false">
      <c r="A51" s="35" t="s">
        <v>315</v>
      </c>
      <c r="B51" s="35" t="s">
        <v>239</v>
      </c>
      <c r="C51" s="37" t="s">
        <v>477</v>
      </c>
      <c r="D51" s="22" t="n">
        <v>0.457</v>
      </c>
      <c r="E51" s="79" t="n">
        <v>55.8</v>
      </c>
      <c r="F51" s="41" t="n">
        <v>93.3</v>
      </c>
      <c r="G51" s="41" t="n">
        <v>100</v>
      </c>
      <c r="H51" s="41" t="n">
        <v>82</v>
      </c>
      <c r="I51" s="41" t="n">
        <v>97.8</v>
      </c>
      <c r="J51" s="41" t="n">
        <v>100</v>
      </c>
      <c r="K51" s="41" t="n">
        <v>57.4</v>
      </c>
      <c r="L51" s="80" t="n">
        <f aca="false">IFERROR((F51*$C$5+G51*$E$5+H51*$G$5+I51*$I$5+J51*$K$5+K51*$M$5)/$O$5,0)</f>
        <v>89.015</v>
      </c>
      <c r="M51" s="45" t="n">
        <f aca="false">RANK(L51,$L$9:$L$84,0)</f>
        <v>2</v>
      </c>
      <c r="N51" s="53" t="s">
        <v>189</v>
      </c>
    </row>
    <row r="52" customFormat="false" ht="15" hidden="false" customHeight="false" outlineLevel="0" collapsed="false">
      <c r="A52" s="35" t="s">
        <v>317</v>
      </c>
      <c r="B52" s="35" t="s">
        <v>318</v>
      </c>
      <c r="C52" s="49" t="s">
        <v>478</v>
      </c>
      <c r="D52" s="22" t="n">
        <v>0.426</v>
      </c>
      <c r="E52" s="79" t="n">
        <v>56.9</v>
      </c>
      <c r="F52" s="41" t="n">
        <v>100</v>
      </c>
      <c r="G52" s="41" t="n">
        <v>63.9</v>
      </c>
      <c r="H52" s="41" t="n">
        <v>52.4</v>
      </c>
      <c r="I52" s="41" t="n">
        <v>67.4</v>
      </c>
      <c r="J52" s="41" t="n">
        <v>89.4</v>
      </c>
      <c r="K52" s="41" t="n">
        <v>47.2</v>
      </c>
      <c r="L52" s="80" t="n">
        <f aca="false">IFERROR((F52*$C$5+G52*$E$5+H52*$G$5+I52*$I$5+J52*$K$5+K52*$M$5)/$O$5,0)</f>
        <v>74.145</v>
      </c>
      <c r="M52" s="45" t="n">
        <f aca="false">RANK(L52,$L$9:$L$84,0)</f>
        <v>18</v>
      </c>
      <c r="N52" s="53" t="s">
        <v>189</v>
      </c>
    </row>
    <row r="53" customFormat="false" ht="15" hidden="false" customHeight="false" outlineLevel="0" collapsed="false">
      <c r="A53" s="35" t="s">
        <v>320</v>
      </c>
      <c r="B53" s="35" t="s">
        <v>321</v>
      </c>
      <c r="C53" s="37" t="s">
        <v>477</v>
      </c>
      <c r="D53" s="22" t="n">
        <v>0.604</v>
      </c>
      <c r="E53" s="79" t="n">
        <v>53.9</v>
      </c>
      <c r="F53" s="41" t="n">
        <v>61.6</v>
      </c>
      <c r="G53" s="41" t="n">
        <v>95.5</v>
      </c>
      <c r="H53" s="41" t="n">
        <v>65</v>
      </c>
      <c r="I53" s="41" t="n">
        <v>58.7</v>
      </c>
      <c r="J53" s="41" t="n">
        <v>90.9</v>
      </c>
      <c r="K53" s="41" t="n">
        <v>75</v>
      </c>
      <c r="L53" s="80" t="n">
        <f aca="false">IFERROR((F53*$C$5+G53*$E$5+H53*$G$5+I53*$I$5+J53*$K$5+K53*$M$5)/$O$5,0)</f>
        <v>74.775</v>
      </c>
      <c r="M53" s="45" t="n">
        <f aca="false">RANK(L53,$L$9:$L$84,0)</f>
        <v>16</v>
      </c>
      <c r="N53" s="81"/>
    </row>
    <row r="54" customFormat="false" ht="15" hidden="false" customHeight="false" outlineLevel="0" collapsed="false">
      <c r="A54" s="35" t="s">
        <v>324</v>
      </c>
      <c r="B54" s="35" t="s">
        <v>321</v>
      </c>
      <c r="C54" s="37" t="s">
        <v>477</v>
      </c>
      <c r="D54" s="22" t="n">
        <v>0.596</v>
      </c>
      <c r="E54" s="79" t="n">
        <v>53</v>
      </c>
      <c r="F54" s="41" t="n">
        <v>63.4</v>
      </c>
      <c r="G54" s="41" t="n">
        <v>100</v>
      </c>
      <c r="H54" s="41" t="n">
        <v>76.6</v>
      </c>
      <c r="I54" s="41" t="n">
        <v>84.8</v>
      </c>
      <c r="J54" s="41" t="n">
        <v>90.9</v>
      </c>
      <c r="K54" s="41" t="n">
        <v>83.3</v>
      </c>
      <c r="L54" s="80" t="n">
        <f aca="false">IFERROR((F54*$C$5+G54*$E$5+H54*$G$5+I54*$I$5+J54*$K$5+K54*$M$5)/$O$5,0)</f>
        <v>81.495</v>
      </c>
      <c r="M54" s="45" t="n">
        <f aca="false">RANK(L54,$L$9:$L$84,0)</f>
        <v>6</v>
      </c>
      <c r="N54" s="53" t="s">
        <v>189</v>
      </c>
    </row>
    <row r="55" customFormat="false" ht="15" hidden="false" customHeight="false" outlineLevel="0" collapsed="false">
      <c r="A55" s="35" t="s">
        <v>327</v>
      </c>
      <c r="B55" s="35" t="s">
        <v>321</v>
      </c>
      <c r="C55" s="37" t="s">
        <v>477</v>
      </c>
      <c r="D55" s="22" t="n">
        <v>0.535</v>
      </c>
      <c r="E55" s="79" t="n">
        <v>56.1</v>
      </c>
      <c r="F55" s="41" t="n">
        <v>76.4</v>
      </c>
      <c r="G55" s="41" t="n">
        <v>100</v>
      </c>
      <c r="H55" s="41" t="n">
        <v>82</v>
      </c>
      <c r="I55" s="41" t="n">
        <v>80.4</v>
      </c>
      <c r="J55" s="41" t="n">
        <v>90.9</v>
      </c>
      <c r="K55" s="41" t="n">
        <v>54.6</v>
      </c>
      <c r="L55" s="80" t="n">
        <f aca="false">IFERROR((F55*$C$5+G55*$E$5+H55*$G$5+I55*$I$5+J55*$K$5+K55*$M$5)/$O$5,0)</f>
        <v>80.81</v>
      </c>
      <c r="M55" s="45" t="n">
        <f aca="false">RANK(L55,$L$9:$L$84,0)</f>
        <v>7</v>
      </c>
      <c r="N55" s="81"/>
    </row>
    <row r="56" customFormat="false" ht="15" hidden="false" customHeight="false" outlineLevel="0" collapsed="false">
      <c r="A56" s="35" t="s">
        <v>329</v>
      </c>
      <c r="B56" s="35" t="s">
        <v>239</v>
      </c>
      <c r="C56" s="37" t="s">
        <v>477</v>
      </c>
      <c r="D56" s="22" t="n">
        <v>0.471</v>
      </c>
      <c r="E56" s="79" t="n">
        <v>56.4</v>
      </c>
      <c r="F56" s="41" t="n">
        <v>90.2</v>
      </c>
      <c r="G56" s="41" t="n">
        <v>100</v>
      </c>
      <c r="H56" s="41" t="n">
        <v>82</v>
      </c>
      <c r="I56" s="41" t="n">
        <v>84.8</v>
      </c>
      <c r="J56" s="41" t="n">
        <v>100</v>
      </c>
      <c r="K56" s="41" t="n">
        <v>51.9</v>
      </c>
      <c r="L56" s="80" t="n">
        <f aca="false">IFERROR((F56*$C$5+G56*$E$5+H56*$G$5+I56*$I$5+J56*$K$5+K56*$M$5)/$O$5,0)</f>
        <v>86.115</v>
      </c>
      <c r="M56" s="45" t="n">
        <f aca="false">RANK(L56,$L$9:$L$84,0)</f>
        <v>4</v>
      </c>
      <c r="N56" s="81"/>
    </row>
    <row r="57" customFormat="false" ht="15" hidden="false" customHeight="false" outlineLevel="0" collapsed="false">
      <c r="A57" s="35" t="s">
        <v>331</v>
      </c>
      <c r="B57" s="35" t="s">
        <v>239</v>
      </c>
      <c r="C57" s="37" t="s">
        <v>477</v>
      </c>
      <c r="D57" s="22" t="n">
        <v>0.478</v>
      </c>
      <c r="E57" s="79" t="n">
        <v>57.8</v>
      </c>
      <c r="F57" s="41" t="n">
        <v>88.7</v>
      </c>
      <c r="G57" s="41" t="n">
        <v>94.1</v>
      </c>
      <c r="H57" s="41" t="n">
        <v>55.6</v>
      </c>
      <c r="I57" s="41" t="n">
        <v>54.3</v>
      </c>
      <c r="J57" s="41" t="n">
        <v>100</v>
      </c>
      <c r="K57" s="41" t="n">
        <v>38.9</v>
      </c>
      <c r="L57" s="80" t="n">
        <f aca="false">IFERROR((F57*$C$5+G57*$E$5+H57*$G$5+I57*$I$5+J57*$K$5+K57*$M$5)/$O$5,0)</f>
        <v>75.895</v>
      </c>
      <c r="M57" s="45" t="n">
        <f aca="false">RANK(L57,$L$9:$L$84,0)</f>
        <v>13</v>
      </c>
      <c r="N57" s="81"/>
    </row>
    <row r="58" customFormat="false" ht="15" hidden="false" customHeight="false" outlineLevel="0" collapsed="false">
      <c r="A58" s="35" t="s">
        <v>334</v>
      </c>
      <c r="B58" s="35" t="s">
        <v>239</v>
      </c>
      <c r="C58" s="37" t="s">
        <v>477</v>
      </c>
      <c r="D58" s="22" t="n">
        <v>0.471</v>
      </c>
      <c r="E58" s="79" t="n">
        <v>58</v>
      </c>
      <c r="F58" s="41" t="n">
        <v>90.2</v>
      </c>
      <c r="G58" s="41" t="n">
        <v>94.1</v>
      </c>
      <c r="H58" s="41" t="n">
        <v>66.2</v>
      </c>
      <c r="I58" s="41" t="n">
        <v>58.7</v>
      </c>
      <c r="J58" s="41" t="n">
        <v>81.4</v>
      </c>
      <c r="K58" s="41" t="n">
        <v>37</v>
      </c>
      <c r="L58" s="80" t="n">
        <f aca="false">IFERROR((F58*$C$5+G58*$E$5+H58*$G$5+I58*$I$5+J58*$K$5+K58*$M$5)/$O$5,0)</f>
        <v>74.295</v>
      </c>
      <c r="M58" s="45" t="n">
        <f aca="false">RANK(L58,$L$9:$L$84,0)</f>
        <v>17</v>
      </c>
      <c r="N58" s="81"/>
    </row>
    <row r="59" customFormat="false" ht="15" hidden="false" customHeight="false" outlineLevel="0" collapsed="false">
      <c r="A59" s="35" t="s">
        <v>337</v>
      </c>
      <c r="B59" s="35" t="s">
        <v>239</v>
      </c>
      <c r="C59" s="37" t="s">
        <v>477</v>
      </c>
      <c r="D59" s="22" t="n">
        <v>0.477</v>
      </c>
      <c r="E59" s="79" t="n">
        <v>59.4</v>
      </c>
      <c r="F59" s="41" t="n">
        <v>88.9</v>
      </c>
      <c r="G59" s="41" t="n">
        <v>100</v>
      </c>
      <c r="H59" s="41" t="n">
        <v>82</v>
      </c>
      <c r="I59" s="41" t="n">
        <v>89.1</v>
      </c>
      <c r="J59" s="41" t="n">
        <v>89.4</v>
      </c>
      <c r="K59" s="41" t="n">
        <v>24.1</v>
      </c>
      <c r="L59" s="80" t="n">
        <f aca="false">IFERROR((F59*$C$5+G59*$E$5+H59*$G$5+I59*$I$5+J59*$K$5+K59*$M$5)/$O$5,0)</f>
        <v>79.93</v>
      </c>
      <c r="M59" s="45" t="n">
        <f aca="false">RANK(L59,$L$9:$L$84,0)</f>
        <v>9</v>
      </c>
      <c r="N59" s="81"/>
    </row>
    <row r="60" customFormat="false" ht="15" hidden="false" customHeight="false" outlineLevel="0" collapsed="false">
      <c r="A60" s="35" t="s">
        <v>339</v>
      </c>
      <c r="B60" s="35" t="s">
        <v>236</v>
      </c>
      <c r="C60" s="37" t="s">
        <v>477</v>
      </c>
      <c r="D60" s="22" t="n">
        <v>0.536</v>
      </c>
      <c r="E60" s="79" t="n">
        <v>58.9</v>
      </c>
      <c r="F60" s="41" t="n">
        <v>76.3</v>
      </c>
      <c r="G60" s="41" t="n">
        <v>89.2</v>
      </c>
      <c r="H60" s="41" t="n">
        <v>77.2</v>
      </c>
      <c r="I60" s="41" t="n">
        <v>32.6</v>
      </c>
      <c r="J60" s="41" t="n">
        <v>89.4</v>
      </c>
      <c r="K60" s="41" t="n">
        <v>25.7</v>
      </c>
      <c r="L60" s="80" t="n">
        <f aca="false">IFERROR((F60*$C$5+G60*$E$5+H60*$G$5+I60*$I$5+J60*$K$5+K60*$M$5)/$O$5,0)</f>
        <v>69.03</v>
      </c>
      <c r="M60" s="45" t="n">
        <f aca="false">RANK(L60,$L$9:$L$84,0)</f>
        <v>28</v>
      </c>
      <c r="N60" s="81"/>
    </row>
    <row r="61" customFormat="false" ht="15" hidden="false" customHeight="false" outlineLevel="0" collapsed="false">
      <c r="A61" s="35" t="s">
        <v>342</v>
      </c>
      <c r="B61" s="35" t="s">
        <v>239</v>
      </c>
      <c r="C61" s="49" t="s">
        <v>478</v>
      </c>
      <c r="D61" s="22" t="n">
        <v>0.441</v>
      </c>
      <c r="E61" s="79" t="n">
        <v>58.9</v>
      </c>
      <c r="F61" s="41" t="n">
        <v>96.7</v>
      </c>
      <c r="G61" s="41" t="n">
        <v>82</v>
      </c>
      <c r="H61" s="41" t="n">
        <v>67.2</v>
      </c>
      <c r="I61" s="41" t="n">
        <v>100</v>
      </c>
      <c r="J61" s="41" t="n">
        <v>72.7</v>
      </c>
      <c r="K61" s="41" t="n">
        <v>28.7</v>
      </c>
      <c r="L61" s="80" t="n">
        <f aca="false">IFERROR((F61*$C$5+G61*$E$5+H61*$G$5+I61*$I$5+J61*$K$5+K61*$M$5)/$O$5,0)</f>
        <v>75.4</v>
      </c>
      <c r="M61" s="45" t="n">
        <f aca="false">RANK(L61,$L$9:$L$84,0)</f>
        <v>14</v>
      </c>
      <c r="N61" s="53" t="s">
        <v>189</v>
      </c>
    </row>
    <row r="62" customFormat="false" ht="15" hidden="false" customHeight="false" outlineLevel="0" collapsed="false">
      <c r="A62" s="35" t="s">
        <v>344</v>
      </c>
      <c r="B62" s="35" t="s">
        <v>265</v>
      </c>
      <c r="C62" s="49" t="s">
        <v>478</v>
      </c>
      <c r="D62" s="22" t="n">
        <v>0.482</v>
      </c>
      <c r="E62" s="79" t="n">
        <v>56</v>
      </c>
      <c r="F62" s="41" t="n">
        <v>87.9</v>
      </c>
      <c r="G62" s="41" t="n">
        <v>70.5</v>
      </c>
      <c r="H62" s="41" t="n">
        <v>57.8</v>
      </c>
      <c r="I62" s="41" t="n">
        <v>76.1</v>
      </c>
      <c r="J62" s="41" t="n">
        <v>72.7</v>
      </c>
      <c r="K62" s="41" t="n">
        <v>55.6</v>
      </c>
      <c r="L62" s="80" t="n">
        <f aca="false">IFERROR((F62*$C$5+G62*$E$5+H62*$G$5+I62*$I$5+J62*$K$5+K62*$M$5)/$O$5,0)</f>
        <v>71.71</v>
      </c>
      <c r="M62" s="45" t="n">
        <f aca="false">RANK(L62,$L$9:$L$84,0)</f>
        <v>24</v>
      </c>
      <c r="N62" s="81"/>
    </row>
    <row r="63" customFormat="false" ht="15" hidden="false" customHeight="false" outlineLevel="0" collapsed="false">
      <c r="A63" s="35" t="s">
        <v>346</v>
      </c>
      <c r="B63" s="35" t="s">
        <v>236</v>
      </c>
      <c r="C63" s="49" t="s">
        <v>478</v>
      </c>
      <c r="D63" s="22" t="n">
        <v>0.479</v>
      </c>
      <c r="E63" s="79" t="n">
        <v>54.3</v>
      </c>
      <c r="F63" s="41" t="n">
        <v>88.6</v>
      </c>
      <c r="G63" s="41" t="n">
        <v>70.5</v>
      </c>
      <c r="H63" s="41" t="n">
        <v>57.8</v>
      </c>
      <c r="I63" s="41" t="n">
        <v>80.4</v>
      </c>
      <c r="J63" s="41" t="n">
        <v>74.2</v>
      </c>
      <c r="K63" s="41" t="n">
        <v>71.3</v>
      </c>
      <c r="L63" s="80" t="n">
        <f aca="false">IFERROR((F63*$C$5+G63*$E$5+H63*$G$5+I63*$I$5+J63*$K$5+K63*$M$5)/$O$5,0)</f>
        <v>74.97</v>
      </c>
      <c r="M63" s="45" t="n">
        <f aca="false">RANK(L63,$L$9:$L$84,0)</f>
        <v>15</v>
      </c>
      <c r="N63" s="53" t="s">
        <v>189</v>
      </c>
    </row>
    <row r="64" customFormat="false" ht="15" hidden="false" customHeight="false" outlineLevel="0" collapsed="false">
      <c r="A64" s="35" t="s">
        <v>348</v>
      </c>
      <c r="B64" s="35" t="s">
        <v>349</v>
      </c>
      <c r="C64" s="37" t="s">
        <v>477</v>
      </c>
      <c r="D64" s="22" t="n">
        <v>0.525</v>
      </c>
      <c r="E64" s="79" t="n">
        <v>56.3</v>
      </c>
      <c r="F64" s="41" t="n">
        <v>78.5</v>
      </c>
      <c r="G64" s="41" t="n">
        <v>100</v>
      </c>
      <c r="H64" s="41" t="n">
        <v>62</v>
      </c>
      <c r="I64" s="41" t="n">
        <v>87</v>
      </c>
      <c r="J64" s="41" t="n">
        <v>100</v>
      </c>
      <c r="K64" s="41" t="n">
        <v>52.8</v>
      </c>
      <c r="L64" s="80" t="n">
        <f aca="false">IFERROR((F64*$C$5+G64*$E$5+H64*$G$5+I64*$I$5+J64*$K$5+K64*$M$5)/$O$5,0)</f>
        <v>80.545</v>
      </c>
      <c r="M64" s="45" t="n">
        <f aca="false">RANK(L64,$L$9:$L$84,0)</f>
        <v>8</v>
      </c>
      <c r="N64" s="81"/>
    </row>
    <row r="65" customFormat="false" ht="15" hidden="false" customHeight="false" outlineLevel="0" collapsed="false">
      <c r="A65" s="35" t="s">
        <v>352</v>
      </c>
      <c r="B65" s="35" t="s">
        <v>265</v>
      </c>
      <c r="C65" s="49" t="s">
        <v>478</v>
      </c>
      <c r="D65" s="22" t="n">
        <v>0.565</v>
      </c>
      <c r="E65" s="79" t="n">
        <v>54.3</v>
      </c>
      <c r="F65" s="41" t="n">
        <v>70</v>
      </c>
      <c r="G65" s="41" t="n">
        <v>82</v>
      </c>
      <c r="H65" s="41" t="n">
        <v>67.2</v>
      </c>
      <c r="I65" s="41" t="n">
        <v>93.5</v>
      </c>
      <c r="J65" s="41" t="n">
        <v>100</v>
      </c>
      <c r="K65" s="41" t="n">
        <v>71.3</v>
      </c>
      <c r="L65" s="80" t="n">
        <f aca="false">IFERROR((F65*$C$5+G65*$E$5+H65*$G$5+I65*$I$5+J65*$K$5+K65*$M$5)/$O$5,0)</f>
        <v>79.925</v>
      </c>
      <c r="M65" s="45" t="n">
        <f aca="false">RANK(L65,$L$9:$L$84,0)</f>
        <v>10</v>
      </c>
      <c r="N65" s="53" t="s">
        <v>189</v>
      </c>
    </row>
    <row r="66" customFormat="false" ht="15" hidden="false" customHeight="false" outlineLevel="0" collapsed="false">
      <c r="A66" s="35" t="s">
        <v>354</v>
      </c>
      <c r="B66" s="35" t="s">
        <v>245</v>
      </c>
      <c r="C66" s="37" t="s">
        <v>477</v>
      </c>
      <c r="D66" s="22" t="n">
        <v>0.565</v>
      </c>
      <c r="E66" s="79" t="n">
        <v>58.1</v>
      </c>
      <c r="F66" s="41" t="n">
        <v>70</v>
      </c>
      <c r="G66" s="41" t="n">
        <v>95.5</v>
      </c>
      <c r="H66" s="41" t="n">
        <v>76.6</v>
      </c>
      <c r="I66" s="41" t="n">
        <v>23.9</v>
      </c>
      <c r="J66" s="41" t="n">
        <v>100</v>
      </c>
      <c r="K66" s="41" t="n">
        <v>22.1</v>
      </c>
      <c r="L66" s="80" t="n">
        <f aca="false">IFERROR((F66*$C$5+G66*$E$5+H66*$G$5+I66*$I$5+J66*$K$5+K66*$M$5)/$O$5,0)</f>
        <v>69.02</v>
      </c>
      <c r="M66" s="45" t="n">
        <f aca="false">RANK(L66,$L$9:$L$84,0)</f>
        <v>29</v>
      </c>
      <c r="N66" s="81"/>
    </row>
    <row r="67" customFormat="false" ht="15" hidden="false" customHeight="false" outlineLevel="0" collapsed="false">
      <c r="A67" s="35" t="s">
        <v>358</v>
      </c>
      <c r="B67" s="35" t="s">
        <v>245</v>
      </c>
      <c r="C67" s="50" t="s">
        <v>479</v>
      </c>
      <c r="D67" s="22" t="n">
        <v>0.615</v>
      </c>
      <c r="E67" s="79" t="n">
        <v>58.1</v>
      </c>
      <c r="F67" s="41" t="n">
        <v>59.3</v>
      </c>
      <c r="G67" s="41" t="n">
        <v>52.5</v>
      </c>
      <c r="H67" s="41" t="n">
        <v>43</v>
      </c>
      <c r="I67" s="41" t="n">
        <v>32.6</v>
      </c>
      <c r="J67" s="41" t="n">
        <v>85</v>
      </c>
      <c r="K67" s="41" t="n">
        <v>24.1</v>
      </c>
      <c r="L67" s="80" t="n">
        <f aca="false">IFERROR((F67*$C$5+G67*$E$5+H67*$G$5+I67*$I$5+J67*$K$5+K67*$M$5)/$O$5,0)</f>
        <v>53.025</v>
      </c>
      <c r="M67" s="45" t="n">
        <f aca="false">RANK(L67,$L$9:$L$84,0)</f>
        <v>60</v>
      </c>
      <c r="N67" s="81"/>
    </row>
    <row r="68" customFormat="false" ht="15" hidden="false" customHeight="false" outlineLevel="0" collapsed="false">
      <c r="A68" s="35" t="s">
        <v>360</v>
      </c>
      <c r="B68" s="35" t="s">
        <v>361</v>
      </c>
      <c r="C68" s="37" t="s">
        <v>477</v>
      </c>
      <c r="D68" s="22" t="n">
        <v>0.605</v>
      </c>
      <c r="E68" s="79" t="n">
        <v>57.1</v>
      </c>
      <c r="F68" s="41" t="n">
        <v>61.3</v>
      </c>
      <c r="G68" s="41" t="n">
        <v>95.5</v>
      </c>
      <c r="H68" s="41" t="n">
        <v>93.1</v>
      </c>
      <c r="I68" s="41" t="n">
        <v>15.2</v>
      </c>
      <c r="J68" s="41" t="n">
        <v>100</v>
      </c>
      <c r="K68" s="41" t="n">
        <v>34.4</v>
      </c>
      <c r="L68" s="80" t="n">
        <f aca="false">IFERROR((F68*$C$5+G68*$E$5+H68*$G$5+I68*$I$5+J68*$K$5+K68*$M$5)/$O$5,0)</f>
        <v>70.295</v>
      </c>
      <c r="M68" s="45" t="n">
        <f aca="false">RANK(L68,$L$9:$L$84,0)</f>
        <v>25</v>
      </c>
      <c r="N68" s="53" t="s">
        <v>189</v>
      </c>
    </row>
    <row r="69" customFormat="false" ht="15" hidden="false" customHeight="false" outlineLevel="0" collapsed="false">
      <c r="A69" s="35" t="s">
        <v>365</v>
      </c>
      <c r="B69" s="35" t="s">
        <v>366</v>
      </c>
      <c r="C69" s="37" t="s">
        <v>477</v>
      </c>
      <c r="D69" s="22" t="n">
        <v>0.649</v>
      </c>
      <c r="E69" s="79" t="n">
        <v>55.6</v>
      </c>
      <c r="F69" s="41" t="n">
        <v>51.8</v>
      </c>
      <c r="G69" s="41" t="n">
        <v>95.5</v>
      </c>
      <c r="H69" s="41" t="n">
        <v>90.8</v>
      </c>
      <c r="I69" s="41" t="n">
        <v>8.7</v>
      </c>
      <c r="J69" s="41" t="n">
        <v>100</v>
      </c>
      <c r="K69" s="41" t="n">
        <v>53.3</v>
      </c>
      <c r="L69" s="80" t="n">
        <f aca="false">IFERROR((F69*$C$5+G69*$E$5+H69*$G$5+I69*$I$5+J69*$K$5+K69*$M$5)/$O$5,0)</f>
        <v>69.76</v>
      </c>
      <c r="M69" s="45" t="n">
        <f aca="false">RANK(L69,$L$9:$L$84,0)</f>
        <v>26</v>
      </c>
      <c r="N69" s="81"/>
    </row>
    <row r="70" customFormat="false" ht="15" hidden="false" customHeight="false" outlineLevel="0" collapsed="false">
      <c r="A70" s="35" t="s">
        <v>369</v>
      </c>
      <c r="B70" s="35" t="s">
        <v>366</v>
      </c>
      <c r="C70" s="37" t="s">
        <v>477</v>
      </c>
      <c r="D70" s="22" t="n">
        <v>0.592</v>
      </c>
      <c r="E70" s="79" t="n">
        <v>56.7</v>
      </c>
      <c r="F70" s="41" t="n">
        <v>64.2</v>
      </c>
      <c r="G70" s="41" t="n">
        <v>90.2</v>
      </c>
      <c r="H70" s="41" t="n">
        <v>69.1</v>
      </c>
      <c r="I70" s="41" t="n">
        <v>15.2</v>
      </c>
      <c r="J70" s="41" t="n">
        <v>45.6</v>
      </c>
      <c r="K70" s="41" t="n">
        <v>43.1</v>
      </c>
      <c r="L70" s="80" t="n">
        <f aca="false">IFERROR((F70*$C$5+G70*$E$5+H70*$G$5+I70*$I$5+J70*$K$5+K70*$M$5)/$O$5,0)</f>
        <v>57.05</v>
      </c>
      <c r="M70" s="45" t="n">
        <f aca="false">RANK(L70,$L$9:$L$84,0)</f>
        <v>52</v>
      </c>
      <c r="N70" s="81"/>
    </row>
    <row r="71" customFormat="false" ht="15" hidden="false" customHeight="false" outlineLevel="0" collapsed="false">
      <c r="A71" s="35" t="s">
        <v>371</v>
      </c>
      <c r="B71" s="35" t="s">
        <v>366</v>
      </c>
      <c r="C71" s="37" t="s">
        <v>477</v>
      </c>
      <c r="D71" s="22" t="n">
        <v>0.605</v>
      </c>
      <c r="E71" s="79" t="n">
        <v>55.3</v>
      </c>
      <c r="F71" s="41" t="n">
        <v>61.4</v>
      </c>
      <c r="G71" s="41" t="n">
        <v>90.2</v>
      </c>
      <c r="H71" s="41" t="n">
        <v>56</v>
      </c>
      <c r="I71" s="41" t="n">
        <v>15.2</v>
      </c>
      <c r="J71" s="41" t="n">
        <v>29</v>
      </c>
      <c r="K71" s="41" t="n">
        <v>56</v>
      </c>
      <c r="L71" s="80" t="n">
        <f aca="false">IFERROR((F71*$C$5+G71*$E$5+H71*$G$5+I71*$I$5+J71*$K$5+K71*$M$5)/$O$5,0)</f>
        <v>53</v>
      </c>
      <c r="M71" s="45" t="n">
        <f aca="false">RANK(L71,$L$9:$L$84,0)</f>
        <v>61</v>
      </c>
      <c r="N71" s="81"/>
    </row>
    <row r="72" customFormat="false" ht="15" hidden="false" customHeight="false" outlineLevel="0" collapsed="false">
      <c r="A72" s="35" t="s">
        <v>374</v>
      </c>
      <c r="B72" s="35" t="s">
        <v>366</v>
      </c>
      <c r="C72" s="49" t="s">
        <v>478</v>
      </c>
      <c r="D72" s="22" t="n">
        <v>0.592</v>
      </c>
      <c r="E72" s="79" t="n">
        <v>55.3</v>
      </c>
      <c r="F72" s="41" t="n">
        <v>64.1</v>
      </c>
      <c r="G72" s="41" t="n">
        <v>58.2</v>
      </c>
      <c r="H72" s="41" t="n">
        <v>57.2</v>
      </c>
      <c r="I72" s="41" t="n">
        <v>13</v>
      </c>
      <c r="J72" s="41" t="n">
        <v>60.7</v>
      </c>
      <c r="K72" s="41" t="n">
        <v>56</v>
      </c>
      <c r="L72" s="80" t="n">
        <f aca="false">IFERROR((F72*$C$5+G72*$E$5+H72*$G$5+I72*$I$5+J72*$K$5+K72*$M$5)/$O$5,0)</f>
        <v>55.175</v>
      </c>
      <c r="M72" s="45" t="n">
        <f aca="false">RANK(L72,$L$9:$L$84,0)</f>
        <v>56</v>
      </c>
      <c r="N72" s="81"/>
    </row>
    <row r="73" customFormat="false" ht="15" hidden="false" customHeight="false" outlineLevel="0" collapsed="false">
      <c r="A73" s="35" t="s">
        <v>377</v>
      </c>
      <c r="B73" s="35" t="s">
        <v>366</v>
      </c>
      <c r="C73" s="49" t="s">
        <v>478</v>
      </c>
      <c r="D73" s="22" t="n">
        <v>0.612</v>
      </c>
      <c r="E73" s="79" t="n">
        <v>52.4</v>
      </c>
      <c r="F73" s="41" t="n">
        <v>59.8</v>
      </c>
      <c r="G73" s="41" t="n">
        <v>50.2</v>
      </c>
      <c r="H73" s="41" t="n">
        <v>41.2</v>
      </c>
      <c r="I73" s="41" t="n">
        <v>37</v>
      </c>
      <c r="J73" s="41" t="n">
        <v>54.7</v>
      </c>
      <c r="K73" s="41" t="n">
        <v>82.9</v>
      </c>
      <c r="L73" s="80" t="n">
        <f aca="false">IFERROR((F73*$C$5+G73*$E$5+H73*$G$5+I73*$I$5+J73*$K$5+K73*$M$5)/$O$5,0)</f>
        <v>55.735</v>
      </c>
      <c r="M73" s="45" t="n">
        <f aca="false">RANK(L73,$L$9:$L$84,0)</f>
        <v>54</v>
      </c>
      <c r="N73" s="81"/>
    </row>
    <row r="74" customFormat="false" ht="15" hidden="false" customHeight="false" outlineLevel="0" collapsed="false">
      <c r="A74" s="35" t="s">
        <v>379</v>
      </c>
      <c r="B74" s="35" t="s">
        <v>366</v>
      </c>
      <c r="C74" s="49" t="s">
        <v>478</v>
      </c>
      <c r="D74" s="22" t="n">
        <v>0.609</v>
      </c>
      <c r="E74" s="79" t="n">
        <v>54.2</v>
      </c>
      <c r="F74" s="41" t="n">
        <v>60.4</v>
      </c>
      <c r="G74" s="41" t="n">
        <v>79.2</v>
      </c>
      <c r="H74" s="41" t="n">
        <v>37.1</v>
      </c>
      <c r="I74" s="41" t="n">
        <v>19.6</v>
      </c>
      <c r="J74" s="41" t="n">
        <v>21.4</v>
      </c>
      <c r="K74" s="41" t="n">
        <v>66.2</v>
      </c>
      <c r="L74" s="80" t="n">
        <f aca="false">IFERROR((F74*$C$5+G74*$E$5+H74*$G$5+I74*$I$5+J74*$K$5+K74*$M$5)/$O$5,0)</f>
        <v>48.715</v>
      </c>
      <c r="M74" s="45" t="n">
        <f aca="false">RANK(L74,$L$9:$L$84,0)</f>
        <v>68</v>
      </c>
      <c r="N74" s="81"/>
    </row>
    <row r="75" customFormat="false" ht="15" hidden="false" customHeight="false" outlineLevel="0" collapsed="false">
      <c r="A75" s="35" t="s">
        <v>382</v>
      </c>
      <c r="B75" s="35" t="s">
        <v>245</v>
      </c>
      <c r="C75" s="49" t="s">
        <v>478</v>
      </c>
      <c r="D75" s="22" t="n">
        <v>0.534</v>
      </c>
      <c r="E75" s="79" t="n">
        <v>58.9</v>
      </c>
      <c r="F75" s="41" t="n">
        <v>76.6</v>
      </c>
      <c r="G75" s="41" t="n">
        <v>51.2</v>
      </c>
      <c r="H75" s="41" t="n">
        <v>49.5</v>
      </c>
      <c r="I75" s="41" t="n">
        <v>41.3</v>
      </c>
      <c r="J75" s="41" t="n">
        <v>60.7</v>
      </c>
      <c r="K75" s="41" t="n">
        <v>22.7</v>
      </c>
      <c r="L75" s="80" t="n">
        <f aca="false">IFERROR((F75*$C$5+G75*$E$5+H75*$G$5+I75*$I$5+J75*$K$5+K75*$M$5)/$O$5,0)</f>
        <v>53.93</v>
      </c>
      <c r="M75" s="45" t="n">
        <f aca="false">RANK(L75,$L$9:$L$84,0)</f>
        <v>59</v>
      </c>
      <c r="N75" s="81"/>
    </row>
    <row r="76" customFormat="false" ht="15" hidden="false" customHeight="false" outlineLevel="0" collapsed="false">
      <c r="A76" s="35" t="s">
        <v>385</v>
      </c>
      <c r="B76" s="35" t="s">
        <v>245</v>
      </c>
      <c r="C76" s="49" t="s">
        <v>478</v>
      </c>
      <c r="D76" s="22" t="n">
        <v>0.521</v>
      </c>
      <c r="E76" s="79" t="n">
        <v>57.4</v>
      </c>
      <c r="F76" s="41" t="n">
        <v>79.4</v>
      </c>
      <c r="G76" s="41" t="n">
        <v>77.5</v>
      </c>
      <c r="H76" s="41" t="n">
        <v>54.4</v>
      </c>
      <c r="I76" s="41" t="n">
        <v>41.3</v>
      </c>
      <c r="J76" s="41" t="n">
        <v>63.6</v>
      </c>
      <c r="K76" s="41" t="n">
        <v>36.6</v>
      </c>
      <c r="L76" s="80" t="n">
        <f aca="false">IFERROR((F76*$C$5+G76*$E$5+H76*$G$5+I76*$I$5+J76*$K$5+K76*$M$5)/$O$5,0)</f>
        <v>61.975</v>
      </c>
      <c r="M76" s="45" t="n">
        <f aca="false">RANK(L76,$L$9:$L$84,0)</f>
        <v>45</v>
      </c>
      <c r="N76" s="81"/>
    </row>
    <row r="77" customFormat="false" ht="15" hidden="false" customHeight="false" outlineLevel="0" collapsed="false">
      <c r="A77" s="35" t="s">
        <v>388</v>
      </c>
      <c r="B77" s="35" t="s">
        <v>245</v>
      </c>
      <c r="C77" s="49" t="s">
        <v>478</v>
      </c>
      <c r="D77" s="22" t="n">
        <v>0.525</v>
      </c>
      <c r="E77" s="79" t="n">
        <v>58.8</v>
      </c>
      <c r="F77" s="41" t="n">
        <v>78.6</v>
      </c>
      <c r="G77" s="41" t="n">
        <v>77.5</v>
      </c>
      <c r="H77" s="41" t="n">
        <v>59</v>
      </c>
      <c r="I77" s="41" t="n">
        <v>41.3</v>
      </c>
      <c r="J77" s="41" t="n">
        <v>47</v>
      </c>
      <c r="K77" s="41" t="n">
        <v>23.6</v>
      </c>
      <c r="L77" s="80" t="n">
        <f aca="false">IFERROR((F77*$C$5+G77*$E$5+H77*$G$5+I77*$I$5+J77*$K$5+K77*$M$5)/$O$5,0)</f>
        <v>57.195</v>
      </c>
      <c r="M77" s="45" t="n">
        <f aca="false">RANK(L77,$L$9:$L$84,0)</f>
        <v>51</v>
      </c>
      <c r="N77" s="81"/>
    </row>
    <row r="78" customFormat="false" ht="15" hidden="false" customHeight="false" outlineLevel="0" collapsed="false">
      <c r="A78" s="35" t="s">
        <v>391</v>
      </c>
      <c r="B78" s="35" t="s">
        <v>245</v>
      </c>
      <c r="C78" s="37" t="s">
        <v>477</v>
      </c>
      <c r="D78" s="22" t="n">
        <v>0.538</v>
      </c>
      <c r="E78" s="79" t="n">
        <v>55.1</v>
      </c>
      <c r="F78" s="41" t="n">
        <v>75.7</v>
      </c>
      <c r="G78" s="41" t="n">
        <v>95.5</v>
      </c>
      <c r="H78" s="41" t="n">
        <v>46</v>
      </c>
      <c r="I78" s="41" t="n">
        <v>28.3</v>
      </c>
      <c r="J78" s="41" t="n">
        <v>86.4</v>
      </c>
      <c r="K78" s="41" t="n">
        <v>57.9</v>
      </c>
      <c r="L78" s="80" t="n">
        <f aca="false">IFERROR((F78*$C$5+G78*$E$5+H78*$G$5+I78*$I$5+J78*$K$5+K78*$M$5)/$O$5,0)</f>
        <v>68.945</v>
      </c>
      <c r="M78" s="45" t="n">
        <f aca="false">RANK(L78,$L$9:$L$84,0)</f>
        <v>30</v>
      </c>
      <c r="N78" s="81"/>
    </row>
    <row r="79" customFormat="false" ht="15" hidden="false" customHeight="false" outlineLevel="0" collapsed="false">
      <c r="A79" s="35" t="s">
        <v>394</v>
      </c>
      <c r="B79" s="35" t="s">
        <v>366</v>
      </c>
      <c r="C79" s="49" t="s">
        <v>478</v>
      </c>
      <c r="D79" s="22" t="n">
        <v>0.579</v>
      </c>
      <c r="E79" s="79" t="n">
        <v>56.7</v>
      </c>
      <c r="F79" s="41" t="n">
        <v>67</v>
      </c>
      <c r="G79" s="41" t="n">
        <v>77.5</v>
      </c>
      <c r="H79" s="41" t="n">
        <v>63.1</v>
      </c>
      <c r="I79" s="41" t="n">
        <v>15.2</v>
      </c>
      <c r="J79" s="41" t="n">
        <v>86.4</v>
      </c>
      <c r="K79" s="41" t="n">
        <v>43.1</v>
      </c>
      <c r="L79" s="80" t="n">
        <f aca="false">IFERROR((F79*$C$5+G79*$E$5+H79*$G$5+I79*$I$5+J79*$K$5+K79*$M$5)/$O$5,0)</f>
        <v>63.105</v>
      </c>
      <c r="M79" s="45" t="n">
        <f aca="false">RANK(L79,$L$9:$L$84,0)</f>
        <v>43</v>
      </c>
      <c r="N79" s="81"/>
    </row>
    <row r="80" customFormat="false" ht="15" hidden="false" customHeight="false" outlineLevel="0" collapsed="false">
      <c r="A80" s="35" t="s">
        <v>397</v>
      </c>
      <c r="B80" s="35" t="s">
        <v>245</v>
      </c>
      <c r="C80" s="37" t="s">
        <v>477</v>
      </c>
      <c r="D80" s="22" t="n">
        <v>0.519</v>
      </c>
      <c r="E80" s="79" t="n">
        <v>57</v>
      </c>
      <c r="F80" s="41" t="n">
        <v>79.8</v>
      </c>
      <c r="G80" s="41" t="n">
        <v>89.2</v>
      </c>
      <c r="H80" s="41" t="n">
        <v>73</v>
      </c>
      <c r="I80" s="41" t="n">
        <v>41.3</v>
      </c>
      <c r="J80" s="41" t="n">
        <v>89.4</v>
      </c>
      <c r="K80" s="41" t="n">
        <v>40.3</v>
      </c>
      <c r="L80" s="80" t="n">
        <f aca="false">IFERROR((F80*$C$5+G80*$E$5+H80*$G$5+I80*$I$5+J80*$K$5+K80*$M$5)/$O$5,0)</f>
        <v>72.335</v>
      </c>
      <c r="M80" s="45" t="n">
        <f aca="false">RANK(L80,$L$9:$L$84,0)</f>
        <v>21</v>
      </c>
      <c r="N80" s="81"/>
    </row>
    <row r="81" customFormat="false" ht="15" hidden="false" customHeight="false" outlineLevel="0" collapsed="false">
      <c r="A81" s="35" t="s">
        <v>401</v>
      </c>
      <c r="B81" s="35" t="s">
        <v>402</v>
      </c>
      <c r="C81" s="37" t="s">
        <v>477</v>
      </c>
      <c r="D81" s="22" t="n">
        <v>0.46</v>
      </c>
      <c r="E81" s="79" t="n">
        <v>57.6</v>
      </c>
      <c r="F81" s="41" t="n">
        <v>92.6</v>
      </c>
      <c r="G81" s="41" t="n">
        <v>100</v>
      </c>
      <c r="H81" s="41" t="n">
        <v>82</v>
      </c>
      <c r="I81" s="41" t="n">
        <v>63</v>
      </c>
      <c r="J81" s="41" t="n">
        <v>72.7</v>
      </c>
      <c r="K81" s="41" t="n">
        <v>31.7</v>
      </c>
      <c r="L81" s="80" t="n">
        <f aca="false">IFERROR((F81*$C$5+G81*$E$5+H81*$G$5+I81*$I$5+J81*$K$5+K81*$M$5)/$O$5,0)</f>
        <v>76.045</v>
      </c>
      <c r="M81" s="45" t="n">
        <f aca="false">RANK(L81,$L$9:$L$84,0)</f>
        <v>12</v>
      </c>
      <c r="N81" s="81"/>
    </row>
    <row r="82" customFormat="false" ht="15" hidden="false" customHeight="false" outlineLevel="0" collapsed="false">
      <c r="A82" s="35" t="s">
        <v>405</v>
      </c>
      <c r="B82" s="35" t="s">
        <v>402</v>
      </c>
      <c r="C82" s="49" t="s">
        <v>478</v>
      </c>
      <c r="D82" s="22" t="n">
        <v>0.478</v>
      </c>
      <c r="E82" s="79" t="n">
        <v>57.6</v>
      </c>
      <c r="F82" s="41" t="n">
        <v>88.7</v>
      </c>
      <c r="G82" s="41" t="n">
        <v>70.5</v>
      </c>
      <c r="H82" s="41" t="n">
        <v>57.8</v>
      </c>
      <c r="I82" s="41" t="n">
        <v>45.7</v>
      </c>
      <c r="J82" s="41" t="n">
        <v>72.7</v>
      </c>
      <c r="K82" s="41" t="n">
        <v>31.7</v>
      </c>
      <c r="L82" s="80" t="n">
        <f aca="false">IFERROR((F82*$C$5+G82*$E$5+H82*$G$5+I82*$I$5+J82*$K$5+K82*$M$5)/$O$5,0)</f>
        <v>65.285</v>
      </c>
      <c r="M82" s="45" t="n">
        <f aca="false">RANK(L82,$L$9:$L$84,0)</f>
        <v>38</v>
      </c>
      <c r="N82" s="81"/>
    </row>
    <row r="83" customFormat="false" ht="15" hidden="false" customHeight="false" outlineLevel="0" collapsed="false">
      <c r="A83" s="35" t="s">
        <v>407</v>
      </c>
      <c r="B83" s="35" t="s">
        <v>408</v>
      </c>
      <c r="C83" s="49" t="s">
        <v>478</v>
      </c>
      <c r="D83" s="22" t="n">
        <v>0.713</v>
      </c>
      <c r="E83" s="82" t="n">
        <v>58</v>
      </c>
      <c r="F83" s="41" t="n">
        <v>38.1</v>
      </c>
      <c r="G83" s="41" t="n">
        <v>58.2</v>
      </c>
      <c r="H83" s="41" t="n">
        <v>78.9</v>
      </c>
      <c r="I83" s="41" t="n">
        <v>4.3</v>
      </c>
      <c r="J83" s="41" t="n">
        <v>64.7</v>
      </c>
      <c r="K83" s="41" t="n">
        <v>31</v>
      </c>
      <c r="L83" s="80" t="n">
        <f aca="false">IFERROR((F83*$C$5+G83*$E$5+H83*$G$5+I83*$I$5+J83*$K$5+K83*$M$5)/$O$5,0)</f>
        <v>48.11</v>
      </c>
      <c r="M83" s="45" t="n">
        <f aca="false">RANK(L83,$L$9:$L$84,0)</f>
        <v>69</v>
      </c>
      <c r="N83" s="81"/>
    </row>
    <row r="84" customFormat="false" ht="15" hidden="false" customHeight="false" outlineLevel="0" collapsed="false">
      <c r="A84" s="35" t="s">
        <v>412</v>
      </c>
      <c r="B84" s="35" t="s">
        <v>408</v>
      </c>
      <c r="C84" s="49" t="s">
        <v>478</v>
      </c>
      <c r="D84" s="22" t="n">
        <v>0.804</v>
      </c>
      <c r="E84" s="79" t="n">
        <v>57.8</v>
      </c>
      <c r="F84" s="41" t="n">
        <v>18.4</v>
      </c>
      <c r="G84" s="41" t="n">
        <v>74.5</v>
      </c>
      <c r="H84" s="41" t="n">
        <v>77.1</v>
      </c>
      <c r="I84" s="41" t="n">
        <v>15.2</v>
      </c>
      <c r="J84" s="41" t="n">
        <v>33.4</v>
      </c>
      <c r="K84" s="41" t="n">
        <v>32.9</v>
      </c>
      <c r="L84" s="80" t="n">
        <f aca="false">IFERROR((F84*$C$5+G84*$E$5+H84*$G$5+I84*$I$5+J84*$K$5+K84*$M$5)/$O$5,0)</f>
        <v>40.475</v>
      </c>
      <c r="M84" s="45" t="n">
        <f aca="false">RANK(L84,$L$9:$L$84,0)</f>
        <v>73</v>
      </c>
      <c r="N84" s="81"/>
    </row>
    <row r="86" customFormat="false" ht="42" hidden="false" customHeight="true" outlineLevel="0" collapsed="false">
      <c r="A86" s="57" t="s">
        <v>601</v>
      </c>
      <c r="B86" s="57"/>
      <c r="C86" s="57"/>
      <c r="D86" s="57"/>
      <c r="E86" s="57"/>
      <c r="F86" s="57"/>
      <c r="G86" s="57"/>
      <c r="H86" s="57"/>
      <c r="I86" s="57"/>
      <c r="J86" s="57"/>
      <c r="K86" s="57"/>
    </row>
    <row r="87" customFormat="false" ht="42" hidden="false" customHeight="true" outlineLevel="0" collapsed="false">
      <c r="A87" s="57" t="s">
        <v>602</v>
      </c>
      <c r="B87" s="57"/>
      <c r="C87" s="57"/>
      <c r="D87" s="57"/>
      <c r="E87" s="57"/>
      <c r="F87" s="57"/>
      <c r="G87" s="57"/>
      <c r="H87" s="57"/>
      <c r="I87" s="57"/>
      <c r="J87" s="57"/>
      <c r="K87" s="57"/>
    </row>
    <row r="88" customFormat="false" ht="42" hidden="false" customHeight="true" outlineLevel="0" collapsed="false">
      <c r="A88" s="57" t="s">
        <v>603</v>
      </c>
      <c r="B88" s="57"/>
      <c r="C88" s="57"/>
      <c r="D88" s="57"/>
      <c r="E88" s="57"/>
      <c r="F88" s="57"/>
      <c r="G88" s="57"/>
      <c r="H88" s="57"/>
      <c r="I88" s="57"/>
      <c r="J88" s="57"/>
      <c r="K88" s="57"/>
    </row>
    <row r="89" customFormat="false" ht="42" hidden="false" customHeight="true" outlineLevel="0" collapsed="false">
      <c r="A89" s="57" t="s">
        <v>604</v>
      </c>
      <c r="B89" s="57"/>
      <c r="C89" s="57"/>
      <c r="D89" s="57"/>
      <c r="E89" s="57"/>
      <c r="F89" s="57"/>
      <c r="G89" s="57"/>
      <c r="H89" s="57"/>
      <c r="I89" s="57"/>
      <c r="J89" s="57"/>
      <c r="K89" s="57"/>
    </row>
  </sheetData>
  <autoFilter ref="A8:N84"/>
  <mergeCells count="4">
    <mergeCell ref="A86:K86"/>
    <mergeCell ref="A87:K87"/>
    <mergeCell ref="A88:K88"/>
    <mergeCell ref="A89:K8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42"/>
    <col collapsed="false" customWidth="true" hidden="false" outlineLevel="0" max="8" min="3" style="0" width="7"/>
    <col collapsed="false" customWidth="true" hidden="false" outlineLevel="0" max="9" min="9" style="0" width="19"/>
    <col collapsed="false" customWidth="true" hidden="false" outlineLevel="0" max="10" min="10" style="0" width="32"/>
    <col collapsed="false" customWidth="true" hidden="false" outlineLevel="0" max="11" min="11" style="0" width="8"/>
    <col collapsed="false" customWidth="true" hidden="false" outlineLevel="0" max="12" min="12" style="0" width="10"/>
    <col collapsed="false" customWidth="true" hidden="false" outlineLevel="0" max="13" min="13" style="0" width="7"/>
    <col collapsed="false" customWidth="true" hidden="false" outlineLevel="0" max="14" min="14" style="0" width="9"/>
    <col collapsed="false" customWidth="true" hidden="false" outlineLevel="0" max="16" min="15" style="0" width="28"/>
  </cols>
  <sheetData>
    <row r="1" customFormat="false" ht="17.35" hidden="false" customHeight="false" outlineLevel="0" collapsed="false">
      <c r="A1" s="1" t="s">
        <v>605</v>
      </c>
    </row>
    <row r="2" customFormat="false" ht="15" hidden="false" customHeight="false" outlineLevel="0" collapsed="false">
      <c r="A2" s="2" t="s">
        <v>606</v>
      </c>
    </row>
    <row r="4" customFormat="false" ht="30" hidden="false" customHeight="true" outlineLevel="0" collapsed="false">
      <c r="A4" s="36" t="s">
        <v>427</v>
      </c>
      <c r="B4" s="36" t="s">
        <v>607</v>
      </c>
      <c r="C4" s="36" t="s">
        <v>584</v>
      </c>
      <c r="D4" s="36" t="s">
        <v>608</v>
      </c>
      <c r="E4" s="36" t="s">
        <v>609</v>
      </c>
      <c r="F4" s="36" t="s">
        <v>610</v>
      </c>
      <c r="G4" s="36" t="s">
        <v>611</v>
      </c>
      <c r="H4" s="36" t="s">
        <v>612</v>
      </c>
      <c r="I4" s="36" t="s">
        <v>613</v>
      </c>
      <c r="J4" s="36" t="s">
        <v>614</v>
      </c>
      <c r="K4" s="36" t="s">
        <v>615</v>
      </c>
      <c r="L4" s="36" t="s">
        <v>616</v>
      </c>
      <c r="M4" s="36" t="s">
        <v>148</v>
      </c>
      <c r="N4" s="36" t="s">
        <v>598</v>
      </c>
      <c r="O4" s="36" t="s">
        <v>617</v>
      </c>
      <c r="P4" s="36" t="s">
        <v>618</v>
      </c>
    </row>
    <row r="5" customFormat="false" ht="25.5" hidden="false" customHeight="true" outlineLevel="0" collapsed="false">
      <c r="A5" s="64" t="s">
        <v>619</v>
      </c>
      <c r="B5" s="83" t="s">
        <v>620</v>
      </c>
      <c r="C5" s="84" t="n">
        <v>100</v>
      </c>
      <c r="D5" s="84" t="n">
        <v>0</v>
      </c>
      <c r="E5" s="84" t="n">
        <v>0</v>
      </c>
      <c r="F5" s="84" t="n">
        <v>0</v>
      </c>
      <c r="G5" s="84" t="n">
        <v>0</v>
      </c>
      <c r="H5" s="84" t="n">
        <v>0</v>
      </c>
      <c r="I5" s="38" t="s">
        <v>621</v>
      </c>
      <c r="J5" s="85" t="s">
        <v>317</v>
      </c>
      <c r="K5" s="80" t="n">
        <v>100</v>
      </c>
      <c r="L5" s="48" t="n">
        <v>0.426</v>
      </c>
      <c r="M5" s="49" t="s">
        <v>478</v>
      </c>
      <c r="N5" s="86" t="n">
        <v>56.9</v>
      </c>
      <c r="O5" s="35" t="s">
        <v>313</v>
      </c>
      <c r="P5" s="35" t="s">
        <v>342</v>
      </c>
    </row>
    <row r="6" customFormat="false" ht="25.5" hidden="false" customHeight="true" outlineLevel="0" collapsed="false">
      <c r="A6" s="64" t="s">
        <v>622</v>
      </c>
      <c r="B6" s="83" t="s">
        <v>623</v>
      </c>
      <c r="C6" s="84" t="n">
        <v>0</v>
      </c>
      <c r="D6" s="84" t="n">
        <v>100</v>
      </c>
      <c r="E6" s="84" t="n">
        <v>0</v>
      </c>
      <c r="F6" s="84" t="n">
        <v>0</v>
      </c>
      <c r="G6" s="84" t="n">
        <v>0</v>
      </c>
      <c r="H6" s="84" t="n">
        <v>0</v>
      </c>
      <c r="I6" s="38" t="s">
        <v>621</v>
      </c>
      <c r="J6" s="85" t="s">
        <v>267</v>
      </c>
      <c r="K6" s="80" t="n">
        <v>100</v>
      </c>
      <c r="L6" s="48" t="n">
        <v>0.58</v>
      </c>
      <c r="M6" s="37" t="s">
        <v>477</v>
      </c>
      <c r="N6" s="86" t="n">
        <v>51.2</v>
      </c>
      <c r="O6" s="35" t="s">
        <v>273</v>
      </c>
      <c r="P6" s="35" t="s">
        <v>315</v>
      </c>
    </row>
    <row r="7" customFormat="false" ht="25.5" hidden="false" customHeight="true" outlineLevel="0" collapsed="false">
      <c r="A7" s="64" t="s">
        <v>624</v>
      </c>
      <c r="B7" s="83" t="s">
        <v>625</v>
      </c>
      <c r="C7" s="84" t="n">
        <v>0</v>
      </c>
      <c r="D7" s="84" t="n">
        <v>0</v>
      </c>
      <c r="E7" s="84" t="n">
        <v>100</v>
      </c>
      <c r="F7" s="84" t="n">
        <v>0</v>
      </c>
      <c r="G7" s="84" t="n">
        <v>0</v>
      </c>
      <c r="H7" s="84" t="n">
        <v>0</v>
      </c>
      <c r="I7" s="38" t="s">
        <v>621</v>
      </c>
      <c r="J7" s="85" t="s">
        <v>212</v>
      </c>
      <c r="K7" s="80" t="n">
        <v>97.4</v>
      </c>
      <c r="L7" s="48" t="n">
        <v>0.717</v>
      </c>
      <c r="M7" s="37" t="s">
        <v>477</v>
      </c>
      <c r="N7" s="86" t="n">
        <v>55.7</v>
      </c>
      <c r="O7" s="35" t="s">
        <v>360</v>
      </c>
      <c r="P7" s="35" t="s">
        <v>273</v>
      </c>
    </row>
    <row r="8" customFormat="false" ht="25.5" hidden="false" customHeight="true" outlineLevel="0" collapsed="false">
      <c r="A8" s="64" t="s">
        <v>626</v>
      </c>
      <c r="B8" s="83" t="s">
        <v>627</v>
      </c>
      <c r="C8" s="84" t="n">
        <v>0</v>
      </c>
      <c r="D8" s="84" t="n">
        <v>0</v>
      </c>
      <c r="E8" s="84" t="n">
        <v>0</v>
      </c>
      <c r="F8" s="84" t="n">
        <v>100</v>
      </c>
      <c r="G8" s="84" t="n">
        <v>0</v>
      </c>
      <c r="H8" s="84" t="n">
        <v>0</v>
      </c>
      <c r="I8" s="38" t="s">
        <v>621</v>
      </c>
      <c r="J8" s="85" t="s">
        <v>342</v>
      </c>
      <c r="K8" s="80" t="n">
        <v>100</v>
      </c>
      <c r="L8" s="48" t="n">
        <v>0.441</v>
      </c>
      <c r="M8" s="49" t="s">
        <v>478</v>
      </c>
      <c r="N8" s="86" t="n">
        <v>58.9</v>
      </c>
      <c r="O8" s="35" t="s">
        <v>315</v>
      </c>
      <c r="P8" s="35" t="s">
        <v>352</v>
      </c>
    </row>
    <row r="9" customFormat="false" ht="25.5" hidden="false" customHeight="true" outlineLevel="0" collapsed="false">
      <c r="A9" s="64" t="s">
        <v>628</v>
      </c>
      <c r="B9" s="83" t="s">
        <v>629</v>
      </c>
      <c r="C9" s="84" t="n">
        <v>0</v>
      </c>
      <c r="D9" s="84" t="n">
        <v>0</v>
      </c>
      <c r="E9" s="84" t="n">
        <v>0</v>
      </c>
      <c r="F9" s="84" t="n">
        <v>0</v>
      </c>
      <c r="G9" s="84" t="n">
        <v>100</v>
      </c>
      <c r="H9" s="84" t="n">
        <v>0</v>
      </c>
      <c r="I9" s="38" t="s">
        <v>621</v>
      </c>
      <c r="J9" s="85" t="s">
        <v>212</v>
      </c>
      <c r="K9" s="80" t="n">
        <v>100</v>
      </c>
      <c r="L9" s="48" t="n">
        <v>0.717</v>
      </c>
      <c r="M9" s="37" t="s">
        <v>477</v>
      </c>
      <c r="N9" s="86" t="n">
        <v>55.7</v>
      </c>
      <c r="O9" s="35" t="s">
        <v>267</v>
      </c>
      <c r="P9" s="35" t="s">
        <v>270</v>
      </c>
    </row>
    <row r="10" customFormat="false" ht="25.5" hidden="false" customHeight="true" outlineLevel="0" collapsed="false">
      <c r="A10" s="64" t="s">
        <v>630</v>
      </c>
      <c r="B10" s="83" t="s">
        <v>631</v>
      </c>
      <c r="C10" s="84" t="n">
        <v>0</v>
      </c>
      <c r="D10" s="84" t="n">
        <v>0</v>
      </c>
      <c r="E10" s="84" t="n">
        <v>0</v>
      </c>
      <c r="F10" s="84" t="n">
        <v>0</v>
      </c>
      <c r="G10" s="84" t="n">
        <v>0</v>
      </c>
      <c r="H10" s="84" t="n">
        <v>100</v>
      </c>
      <c r="I10" s="38" t="s">
        <v>621</v>
      </c>
      <c r="J10" s="85" t="s">
        <v>267</v>
      </c>
      <c r="K10" s="80" t="n">
        <v>100</v>
      </c>
      <c r="L10" s="48" t="n">
        <v>0.58</v>
      </c>
      <c r="M10" s="37" t="s">
        <v>477</v>
      </c>
      <c r="N10" s="86" t="n">
        <v>51.2</v>
      </c>
      <c r="O10" s="35" t="s">
        <v>270</v>
      </c>
      <c r="P10" s="35" t="s">
        <v>273</v>
      </c>
    </row>
    <row r="11" customFormat="false" ht="25.5" hidden="false" customHeight="true" outlineLevel="0" collapsed="false">
      <c r="A11" s="64" t="s">
        <v>632</v>
      </c>
      <c r="B11" s="83" t="s">
        <v>633</v>
      </c>
      <c r="C11" s="84" t="n">
        <v>25</v>
      </c>
      <c r="D11" s="84" t="n">
        <v>15</v>
      </c>
      <c r="E11" s="84" t="n">
        <v>15</v>
      </c>
      <c r="F11" s="84" t="n">
        <v>10</v>
      </c>
      <c r="G11" s="84" t="n">
        <v>20</v>
      </c>
      <c r="H11" s="84" t="n">
        <v>15</v>
      </c>
      <c r="I11" s="38" t="s">
        <v>621</v>
      </c>
      <c r="J11" s="85" t="s">
        <v>273</v>
      </c>
      <c r="K11" s="80" t="n">
        <v>89.9</v>
      </c>
      <c r="L11" s="48" t="n">
        <v>0.517</v>
      </c>
      <c r="M11" s="37" t="s">
        <v>477</v>
      </c>
      <c r="N11" s="86" t="n">
        <v>52.6</v>
      </c>
      <c r="O11" s="35" t="s">
        <v>315</v>
      </c>
      <c r="P11" s="35" t="s">
        <v>267</v>
      </c>
    </row>
    <row r="12" customFormat="false" ht="25.5" hidden="false" customHeight="true" outlineLevel="0" collapsed="false">
      <c r="A12" s="64" t="s">
        <v>634</v>
      </c>
      <c r="B12" s="83" t="s">
        <v>635</v>
      </c>
      <c r="C12" s="84" t="n">
        <v>33</v>
      </c>
      <c r="D12" s="84" t="n">
        <v>34</v>
      </c>
      <c r="E12" s="84" t="n">
        <v>33</v>
      </c>
      <c r="F12" s="84" t="n">
        <v>0</v>
      </c>
      <c r="G12" s="84" t="n">
        <v>0</v>
      </c>
      <c r="H12" s="84" t="n">
        <v>0</v>
      </c>
      <c r="I12" s="38" t="s">
        <v>621</v>
      </c>
      <c r="J12" s="85" t="s">
        <v>315</v>
      </c>
      <c r="K12" s="80" t="n">
        <v>91.8</v>
      </c>
      <c r="L12" s="48" t="n">
        <v>0.457</v>
      </c>
      <c r="M12" s="37" t="s">
        <v>477</v>
      </c>
      <c r="N12" s="86" t="n">
        <v>55.8</v>
      </c>
      <c r="O12" s="35" t="s">
        <v>401</v>
      </c>
      <c r="P12" s="35" t="s">
        <v>329</v>
      </c>
    </row>
    <row r="13" customFormat="false" ht="25.5" hidden="false" customHeight="true" outlineLevel="0" collapsed="false">
      <c r="A13" s="64" t="s">
        <v>636</v>
      </c>
      <c r="B13" s="83" t="s">
        <v>637</v>
      </c>
      <c r="C13" s="84" t="n">
        <v>50</v>
      </c>
      <c r="D13" s="84" t="n">
        <v>0</v>
      </c>
      <c r="E13" s="84" t="n">
        <v>0</v>
      </c>
      <c r="F13" s="84" t="n">
        <v>0</v>
      </c>
      <c r="G13" s="84" t="n">
        <v>0</v>
      </c>
      <c r="H13" s="84" t="n">
        <v>50</v>
      </c>
      <c r="I13" s="38" t="s">
        <v>621</v>
      </c>
      <c r="J13" s="85" t="s">
        <v>301</v>
      </c>
      <c r="K13" s="80" t="n">
        <v>84.3</v>
      </c>
      <c r="L13" s="48" t="n">
        <v>0.459</v>
      </c>
      <c r="M13" s="50" t="s">
        <v>479</v>
      </c>
      <c r="N13" s="86" t="n">
        <v>53.8</v>
      </c>
      <c r="O13" s="35" t="s">
        <v>273</v>
      </c>
      <c r="P13" s="35" t="s">
        <v>267</v>
      </c>
    </row>
    <row r="14" customFormat="false" ht="25.5" hidden="false" customHeight="true" outlineLevel="0" collapsed="false">
      <c r="A14" s="64" t="s">
        <v>638</v>
      </c>
      <c r="B14" s="83" t="s">
        <v>639</v>
      </c>
      <c r="C14" s="84" t="n">
        <v>50</v>
      </c>
      <c r="D14" s="84" t="n">
        <v>0</v>
      </c>
      <c r="E14" s="84" t="n">
        <v>0</v>
      </c>
      <c r="F14" s="84" t="n">
        <v>0</v>
      </c>
      <c r="G14" s="84" t="n">
        <v>50</v>
      </c>
      <c r="H14" s="84" t="n">
        <v>0</v>
      </c>
      <c r="I14" s="38" t="s">
        <v>621</v>
      </c>
      <c r="J14" s="85" t="s">
        <v>315</v>
      </c>
      <c r="K14" s="80" t="n">
        <v>96.7</v>
      </c>
      <c r="L14" s="48" t="n">
        <v>0.457</v>
      </c>
      <c r="M14" s="37" t="s">
        <v>477</v>
      </c>
      <c r="N14" s="86" t="n">
        <v>55.8</v>
      </c>
      <c r="O14" s="35" t="s">
        <v>329</v>
      </c>
      <c r="P14" s="35" t="s">
        <v>317</v>
      </c>
    </row>
    <row r="15" customFormat="false" ht="25.5" hidden="false" customHeight="true" outlineLevel="0" collapsed="false">
      <c r="A15" s="64" t="s">
        <v>640</v>
      </c>
      <c r="B15" s="83" t="s">
        <v>641</v>
      </c>
      <c r="C15" s="84" t="n">
        <v>0</v>
      </c>
      <c r="D15" s="84" t="n">
        <v>30</v>
      </c>
      <c r="E15" s="84" t="n">
        <v>40</v>
      </c>
      <c r="F15" s="84" t="n">
        <v>0</v>
      </c>
      <c r="G15" s="84" t="n">
        <v>30</v>
      </c>
      <c r="H15" s="84" t="n">
        <v>0</v>
      </c>
      <c r="I15" s="38" t="s">
        <v>621</v>
      </c>
      <c r="J15" s="85" t="s">
        <v>212</v>
      </c>
      <c r="K15" s="80" t="n">
        <v>97.6</v>
      </c>
      <c r="L15" s="48" t="n">
        <v>0.717</v>
      </c>
      <c r="M15" s="37" t="s">
        <v>477</v>
      </c>
      <c r="N15" s="86" t="n">
        <v>55.7</v>
      </c>
      <c r="O15" s="35" t="s">
        <v>273</v>
      </c>
      <c r="P15" s="35" t="s">
        <v>360</v>
      </c>
    </row>
    <row r="16" customFormat="false" ht="25.5" hidden="false" customHeight="true" outlineLevel="0" collapsed="false">
      <c r="A16" s="64" t="s">
        <v>642</v>
      </c>
      <c r="B16" s="83" t="s">
        <v>643</v>
      </c>
      <c r="C16" s="84" t="n">
        <v>15</v>
      </c>
      <c r="D16" s="84" t="n">
        <v>10</v>
      </c>
      <c r="E16" s="84" t="n">
        <v>10</v>
      </c>
      <c r="F16" s="84" t="n">
        <v>5</v>
      </c>
      <c r="G16" s="84" t="n">
        <v>20</v>
      </c>
      <c r="H16" s="84" t="n">
        <v>40</v>
      </c>
      <c r="I16" s="38" t="s">
        <v>621</v>
      </c>
      <c r="J16" s="85" t="s">
        <v>267</v>
      </c>
      <c r="K16" s="80" t="n">
        <v>91.8</v>
      </c>
      <c r="L16" s="48" t="n">
        <v>0.58</v>
      </c>
      <c r="M16" s="37" t="s">
        <v>477</v>
      </c>
      <c r="N16" s="86" t="n">
        <v>51.2</v>
      </c>
      <c r="O16" s="35" t="s">
        <v>273</v>
      </c>
      <c r="P16" s="35" t="s">
        <v>270</v>
      </c>
    </row>
    <row r="17" customFormat="false" ht="25.5" hidden="false" customHeight="true" outlineLevel="0" collapsed="false">
      <c r="A17" s="64" t="s">
        <v>644</v>
      </c>
      <c r="B17" s="83" t="s">
        <v>645</v>
      </c>
      <c r="C17" s="84" t="n">
        <v>15</v>
      </c>
      <c r="D17" s="84" t="n">
        <v>20</v>
      </c>
      <c r="E17" s="84" t="n">
        <v>25</v>
      </c>
      <c r="F17" s="84" t="n">
        <v>0</v>
      </c>
      <c r="G17" s="84" t="n">
        <v>40</v>
      </c>
      <c r="H17" s="84" t="n">
        <v>0</v>
      </c>
      <c r="I17" s="38" t="s">
        <v>621</v>
      </c>
      <c r="J17" s="85" t="s">
        <v>273</v>
      </c>
      <c r="K17" s="80" t="n">
        <v>94.9</v>
      </c>
      <c r="L17" s="48" t="n">
        <v>0.517</v>
      </c>
      <c r="M17" s="37" t="s">
        <v>477</v>
      </c>
      <c r="N17" s="86" t="n">
        <v>52.6</v>
      </c>
      <c r="O17" s="35" t="s">
        <v>315</v>
      </c>
      <c r="P17" s="35" t="s">
        <v>329</v>
      </c>
    </row>
    <row r="18" customFormat="false" ht="25.5" hidden="false" customHeight="true" outlineLevel="0" collapsed="false">
      <c r="A18" s="64" t="s">
        <v>646</v>
      </c>
      <c r="B18" s="83" t="s">
        <v>647</v>
      </c>
      <c r="C18" s="84" t="n">
        <v>50</v>
      </c>
      <c r="D18" s="84" t="n">
        <v>10</v>
      </c>
      <c r="E18" s="84" t="n">
        <v>10</v>
      </c>
      <c r="F18" s="84" t="n">
        <v>5</v>
      </c>
      <c r="G18" s="84" t="n">
        <v>15</v>
      </c>
      <c r="H18" s="84" t="n">
        <v>10</v>
      </c>
      <c r="I18" s="38" t="s">
        <v>621</v>
      </c>
      <c r="J18" s="85" t="s">
        <v>315</v>
      </c>
      <c r="K18" s="80" t="n">
        <v>90.5</v>
      </c>
      <c r="L18" s="48" t="n">
        <v>0.457</v>
      </c>
      <c r="M18" s="37" t="s">
        <v>477</v>
      </c>
      <c r="N18" s="86" t="n">
        <v>55.8</v>
      </c>
      <c r="O18" s="35" t="s">
        <v>329</v>
      </c>
      <c r="P18" s="35" t="s">
        <v>273</v>
      </c>
    </row>
    <row r="19" customFormat="false" ht="25.5" hidden="false" customHeight="true" outlineLevel="0" collapsed="false">
      <c r="A19" s="64" t="s">
        <v>648</v>
      </c>
      <c r="B19" s="83" t="s">
        <v>649</v>
      </c>
      <c r="C19" s="84" t="n">
        <v>25</v>
      </c>
      <c r="D19" s="84" t="n">
        <v>10</v>
      </c>
      <c r="E19" s="84" t="n">
        <v>10</v>
      </c>
      <c r="F19" s="84" t="n">
        <v>30</v>
      </c>
      <c r="G19" s="84" t="n">
        <v>15</v>
      </c>
      <c r="H19" s="84" t="n">
        <v>10</v>
      </c>
      <c r="I19" s="38" t="s">
        <v>621</v>
      </c>
      <c r="J19" s="85" t="s">
        <v>315</v>
      </c>
      <c r="K19" s="80" t="n">
        <v>91.6</v>
      </c>
      <c r="L19" s="48" t="n">
        <v>0.457</v>
      </c>
      <c r="M19" s="37" t="s">
        <v>477</v>
      </c>
      <c r="N19" s="86" t="n">
        <v>55.8</v>
      </c>
      <c r="O19" s="35" t="s">
        <v>273</v>
      </c>
      <c r="P19" s="35" t="s">
        <v>329</v>
      </c>
    </row>
    <row r="20" customFormat="false" ht="25.5" hidden="false" customHeight="true" outlineLevel="0" collapsed="false">
      <c r="A20" s="64" t="s">
        <v>650</v>
      </c>
      <c r="B20" s="83" t="s">
        <v>651</v>
      </c>
      <c r="C20" s="84" t="n">
        <v>40</v>
      </c>
      <c r="D20" s="84" t="n">
        <v>10</v>
      </c>
      <c r="E20" s="84" t="n">
        <v>25</v>
      </c>
      <c r="F20" s="84" t="n">
        <v>5</v>
      </c>
      <c r="G20" s="84" t="n">
        <v>20</v>
      </c>
      <c r="H20" s="84" t="n">
        <v>0</v>
      </c>
      <c r="I20" s="38" t="s">
        <v>621</v>
      </c>
      <c r="J20" s="85" t="s">
        <v>315</v>
      </c>
      <c r="K20" s="80" t="n">
        <v>92.7</v>
      </c>
      <c r="L20" s="48" t="n">
        <v>0.457</v>
      </c>
      <c r="M20" s="37" t="s">
        <v>477</v>
      </c>
      <c r="N20" s="86" t="n">
        <v>55.8</v>
      </c>
      <c r="O20" s="35" t="s">
        <v>329</v>
      </c>
      <c r="P20" s="35" t="s">
        <v>273</v>
      </c>
    </row>
    <row r="21" customFormat="false" ht="25.5" hidden="false" customHeight="true" outlineLevel="0" collapsed="false">
      <c r="A21" s="64" t="s">
        <v>652</v>
      </c>
      <c r="B21" s="83" t="s">
        <v>653</v>
      </c>
      <c r="C21" s="84" t="n">
        <v>10</v>
      </c>
      <c r="D21" s="84" t="n">
        <v>15</v>
      </c>
      <c r="E21" s="84" t="n">
        <v>25</v>
      </c>
      <c r="F21" s="84" t="n">
        <v>0</v>
      </c>
      <c r="G21" s="84" t="n">
        <v>25</v>
      </c>
      <c r="H21" s="84" t="n">
        <v>25</v>
      </c>
      <c r="I21" s="38" t="s">
        <v>621</v>
      </c>
      <c r="J21" s="85" t="s">
        <v>273</v>
      </c>
      <c r="K21" s="80" t="n">
        <v>92.7</v>
      </c>
      <c r="L21" s="48" t="n">
        <v>0.517</v>
      </c>
      <c r="M21" s="37" t="s">
        <v>477</v>
      </c>
      <c r="N21" s="86" t="n">
        <v>52.6</v>
      </c>
      <c r="O21" s="35" t="s">
        <v>267</v>
      </c>
      <c r="P21" s="35" t="s">
        <v>270</v>
      </c>
    </row>
    <row r="22" customFormat="false" ht="25.5" hidden="false" customHeight="true" outlineLevel="0" collapsed="false">
      <c r="A22" s="64" t="s">
        <v>654</v>
      </c>
      <c r="B22" s="83" t="s">
        <v>655</v>
      </c>
      <c r="C22" s="84" t="n">
        <v>25</v>
      </c>
      <c r="D22" s="84" t="n">
        <v>15</v>
      </c>
      <c r="E22" s="84" t="n">
        <v>15</v>
      </c>
      <c r="F22" s="84" t="n">
        <v>10</v>
      </c>
      <c r="G22" s="84" t="n">
        <v>20</v>
      </c>
      <c r="H22" s="84" t="n">
        <v>15</v>
      </c>
      <c r="I22" s="38" t="s">
        <v>156</v>
      </c>
      <c r="J22" s="85" t="s">
        <v>397</v>
      </c>
      <c r="K22" s="80" t="n">
        <v>72.3</v>
      </c>
      <c r="L22" s="48" t="n">
        <v>0.519</v>
      </c>
      <c r="M22" s="37" t="s">
        <v>477</v>
      </c>
      <c r="N22" s="86" t="n">
        <v>57</v>
      </c>
      <c r="O22" s="35" t="s">
        <v>360</v>
      </c>
      <c r="P22" s="35" t="s">
        <v>365</v>
      </c>
    </row>
    <row r="23" customFormat="false" ht="25.5" hidden="false" customHeight="true" outlineLevel="0" collapsed="false">
      <c r="A23" s="64" t="s">
        <v>656</v>
      </c>
      <c r="B23" s="83" t="s">
        <v>657</v>
      </c>
      <c r="C23" s="84" t="n">
        <v>25</v>
      </c>
      <c r="D23" s="84" t="n">
        <v>15</v>
      </c>
      <c r="E23" s="84" t="n">
        <v>15</v>
      </c>
      <c r="F23" s="84" t="n">
        <v>10</v>
      </c>
      <c r="G23" s="84" t="n">
        <v>20</v>
      </c>
      <c r="H23" s="84" t="n">
        <v>15</v>
      </c>
      <c r="I23" s="38" t="s">
        <v>658</v>
      </c>
      <c r="J23" s="85" t="s">
        <v>401</v>
      </c>
      <c r="K23" s="80" t="n">
        <v>76</v>
      </c>
      <c r="L23" s="48" t="n">
        <v>0.46</v>
      </c>
      <c r="M23" s="37" t="s">
        <v>477</v>
      </c>
      <c r="N23" s="86" t="n">
        <v>57.6</v>
      </c>
      <c r="O23" s="35" t="s">
        <v>397</v>
      </c>
      <c r="P23" s="35" t="s">
        <v>365</v>
      </c>
    </row>
    <row r="24" customFormat="false" ht="25.5" hidden="false" customHeight="true" outlineLevel="0" collapsed="false">
      <c r="A24" s="64" t="s">
        <v>659</v>
      </c>
      <c r="B24" s="83" t="s">
        <v>660</v>
      </c>
      <c r="C24" s="84" t="n">
        <v>25</v>
      </c>
      <c r="D24" s="84" t="n">
        <v>15</v>
      </c>
      <c r="E24" s="84" t="n">
        <v>15</v>
      </c>
      <c r="F24" s="84" t="n">
        <v>10</v>
      </c>
      <c r="G24" s="84" t="n">
        <v>20</v>
      </c>
      <c r="H24" s="84" t="n">
        <v>15</v>
      </c>
      <c r="I24" s="38" t="s">
        <v>661</v>
      </c>
      <c r="J24" s="85" t="s">
        <v>273</v>
      </c>
      <c r="K24" s="80" t="n">
        <v>89.9</v>
      </c>
      <c r="L24" s="48" t="n">
        <v>0.517</v>
      </c>
      <c r="M24" s="37" t="s">
        <v>477</v>
      </c>
      <c r="N24" s="86" t="n">
        <v>52.6</v>
      </c>
      <c r="O24" s="35" t="s">
        <v>267</v>
      </c>
      <c r="P24" s="35" t="s">
        <v>270</v>
      </c>
    </row>
    <row r="26" customFormat="false" ht="15" hidden="false" customHeight="false" outlineLevel="0" collapsed="false">
      <c r="A26" s="52" t="s">
        <v>662</v>
      </c>
    </row>
    <row r="27" customFormat="false" ht="42" hidden="false" customHeight="true" outlineLevel="0" collapsed="false">
      <c r="A27" s="57" t="s">
        <v>663</v>
      </c>
      <c r="B27" s="57"/>
      <c r="C27" s="57"/>
      <c r="D27" s="57"/>
      <c r="E27" s="57"/>
      <c r="F27" s="57"/>
      <c r="G27" s="57"/>
      <c r="H27" s="57"/>
      <c r="I27" s="57"/>
      <c r="J27" s="57"/>
      <c r="K27" s="57"/>
      <c r="L27" s="57"/>
    </row>
    <row r="28" customFormat="false" ht="42" hidden="false" customHeight="true" outlineLevel="0" collapsed="false">
      <c r="A28" s="57" t="s">
        <v>664</v>
      </c>
      <c r="B28" s="57"/>
      <c r="C28" s="57"/>
      <c r="D28" s="57"/>
      <c r="E28" s="57"/>
      <c r="F28" s="57"/>
      <c r="G28" s="57"/>
      <c r="H28" s="57"/>
      <c r="I28" s="57"/>
      <c r="J28" s="57"/>
      <c r="K28" s="57"/>
      <c r="L28" s="57"/>
    </row>
    <row r="29" customFormat="false" ht="42" hidden="false" customHeight="true" outlineLevel="0" collapsed="false">
      <c r="A29" s="57" t="s">
        <v>665</v>
      </c>
      <c r="B29" s="57"/>
      <c r="C29" s="57"/>
      <c r="D29" s="57"/>
      <c r="E29" s="57"/>
      <c r="F29" s="57"/>
      <c r="G29" s="57"/>
      <c r="H29" s="57"/>
      <c r="I29" s="57"/>
      <c r="J29" s="57"/>
      <c r="K29" s="57"/>
      <c r="L29" s="57"/>
    </row>
    <row r="30" customFormat="false" ht="42" hidden="false" customHeight="true" outlineLevel="0" collapsed="false">
      <c r="A30" s="57" t="s">
        <v>666</v>
      </c>
      <c r="B30" s="57"/>
      <c r="C30" s="57"/>
      <c r="D30" s="57"/>
      <c r="E30" s="57"/>
      <c r="F30" s="57"/>
      <c r="G30" s="57"/>
      <c r="H30" s="57"/>
      <c r="I30" s="57"/>
      <c r="J30" s="57"/>
      <c r="K30" s="57"/>
      <c r="L30" s="57"/>
    </row>
  </sheetData>
  <mergeCells count="4">
    <mergeCell ref="A27:L27"/>
    <mergeCell ref="A28:L28"/>
    <mergeCell ref="A29:L29"/>
    <mergeCell ref="A30:L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00"/>
    <col collapsed="false" customWidth="true" hidden="false" outlineLevel="0" max="4" min="4" style="0" width="22"/>
  </cols>
  <sheetData>
    <row r="1" customFormat="false" ht="17.35" hidden="false" customHeight="false" outlineLevel="0" collapsed="false">
      <c r="B1" s="1" t="s">
        <v>667</v>
      </c>
    </row>
    <row r="2" customFormat="false" ht="15" hidden="false" customHeight="false" outlineLevel="0" collapsed="false">
      <c r="B2" s="2" t="s">
        <v>668</v>
      </c>
    </row>
    <row r="4" customFormat="false" ht="15" hidden="false" customHeight="false" outlineLevel="0" collapsed="false">
      <c r="B4" s="87" t="s">
        <v>669</v>
      </c>
      <c r="C4" s="87" t="s">
        <v>670</v>
      </c>
      <c r="D4" s="87" t="s">
        <v>671</v>
      </c>
    </row>
    <row r="5" customFormat="false" ht="43.5" hidden="false" customHeight="true" outlineLevel="0" collapsed="false">
      <c r="B5" s="88" t="s">
        <v>672</v>
      </c>
      <c r="C5" s="88" t="s">
        <v>673</v>
      </c>
      <c r="D5" s="88" t="s">
        <v>674</v>
      </c>
    </row>
    <row r="6" customFormat="false" ht="43.5" hidden="false" customHeight="true" outlineLevel="0" collapsed="false">
      <c r="B6" s="88" t="s">
        <v>675</v>
      </c>
      <c r="C6" s="88" t="s">
        <v>676</v>
      </c>
      <c r="D6" s="88" t="s">
        <v>677</v>
      </c>
    </row>
    <row r="7" customFormat="false" ht="43.5" hidden="false" customHeight="true" outlineLevel="0" collapsed="false">
      <c r="B7" s="88" t="s">
        <v>678</v>
      </c>
      <c r="C7" s="88" t="s">
        <v>679</v>
      </c>
      <c r="D7" s="88" t="s">
        <v>680</v>
      </c>
    </row>
    <row r="8" customFormat="false" ht="43.5" hidden="false" customHeight="true" outlineLevel="0" collapsed="false">
      <c r="B8" s="88" t="s">
        <v>681</v>
      </c>
      <c r="C8" s="88" t="s">
        <v>682</v>
      </c>
      <c r="D8" s="88" t="s">
        <v>683</v>
      </c>
    </row>
    <row r="9" customFormat="false" ht="43.5" hidden="false" customHeight="true" outlineLevel="0" collapsed="false">
      <c r="B9" s="88" t="s">
        <v>684</v>
      </c>
      <c r="C9" s="88" t="s">
        <v>685</v>
      </c>
      <c r="D9" s="88" t="s">
        <v>686</v>
      </c>
    </row>
    <row r="10" customFormat="false" ht="43.5" hidden="false" customHeight="true" outlineLevel="0" collapsed="false">
      <c r="B10" s="88" t="s">
        <v>687</v>
      </c>
      <c r="C10" s="88" t="s">
        <v>688</v>
      </c>
      <c r="D10" s="88" t="s">
        <v>689</v>
      </c>
    </row>
    <row r="11" customFormat="false" ht="43.5" hidden="false" customHeight="true" outlineLevel="0" collapsed="false">
      <c r="B11" s="88" t="s">
        <v>690</v>
      </c>
      <c r="C11" s="88" t="s">
        <v>691</v>
      </c>
      <c r="D11" s="88" t="s">
        <v>692</v>
      </c>
    </row>
    <row r="12" customFormat="false" ht="43.5" hidden="false" customHeight="true" outlineLevel="0" collapsed="false">
      <c r="B12" s="88" t="s">
        <v>693</v>
      </c>
      <c r="C12" s="88" t="s">
        <v>694</v>
      </c>
      <c r="D12" s="88" t="s">
        <v>695</v>
      </c>
    </row>
    <row r="13" customFormat="false" ht="43.5" hidden="false" customHeight="true" outlineLevel="0" collapsed="false">
      <c r="B13" s="88" t="s">
        <v>696</v>
      </c>
      <c r="C13" s="88" t="s">
        <v>697</v>
      </c>
      <c r="D13" s="89" t="s">
        <v>698</v>
      </c>
    </row>
    <row r="14" customFormat="false" ht="43.5" hidden="false" customHeight="true" outlineLevel="0" collapsed="false">
      <c r="B14" s="88" t="s">
        <v>699</v>
      </c>
      <c r="C14" s="88" t="s">
        <v>700</v>
      </c>
      <c r="D14" s="88" t="s">
        <v>695</v>
      </c>
    </row>
    <row r="15" customFormat="false" ht="43.5" hidden="false" customHeight="true" outlineLevel="0" collapsed="false">
      <c r="B15" s="88" t="s">
        <v>701</v>
      </c>
      <c r="C15" s="88" t="s">
        <v>702</v>
      </c>
      <c r="D15" s="88" t="s">
        <v>703</v>
      </c>
    </row>
    <row r="16" customFormat="false" ht="43.5" hidden="false" customHeight="true" outlineLevel="0" collapsed="false">
      <c r="B16" s="88" t="s">
        <v>704</v>
      </c>
      <c r="C16" s="88" t="s">
        <v>705</v>
      </c>
      <c r="D16" s="88" t="s">
        <v>706</v>
      </c>
    </row>
    <row r="17" customFormat="false" ht="43.5" hidden="false" customHeight="true" outlineLevel="0" collapsed="false">
      <c r="B17" s="88" t="s">
        <v>707</v>
      </c>
      <c r="C17" s="88" t="s">
        <v>708</v>
      </c>
      <c r="D17" s="88" t="s">
        <v>709</v>
      </c>
    </row>
    <row r="18" customFormat="false" ht="43.5" hidden="false" customHeight="true" outlineLevel="0" collapsed="false">
      <c r="B18" s="88" t="s">
        <v>710</v>
      </c>
      <c r="C18" s="88" t="s">
        <v>711</v>
      </c>
      <c r="D18" s="88" t="s">
        <v>712</v>
      </c>
    </row>
    <row r="19" customFormat="false" ht="43.5" hidden="false" customHeight="true" outlineLevel="0" collapsed="false">
      <c r="B19" s="88" t="s">
        <v>713</v>
      </c>
      <c r="C19" s="88" t="s">
        <v>714</v>
      </c>
      <c r="D19" s="88" t="s">
        <v>695</v>
      </c>
    </row>
    <row r="20" customFormat="false" ht="43.5" hidden="false" customHeight="true" outlineLevel="0" collapsed="false">
      <c r="B20" s="88" t="s">
        <v>715</v>
      </c>
      <c r="C20" s="88" t="s">
        <v>716</v>
      </c>
      <c r="D20" s="88" t="s">
        <v>717</v>
      </c>
    </row>
    <row r="21" customFormat="false" ht="43.5" hidden="false" customHeight="true" outlineLevel="0" collapsed="false">
      <c r="B21" s="88" t="s">
        <v>718</v>
      </c>
      <c r="C21" s="88" t="s">
        <v>719</v>
      </c>
      <c r="D21" s="88" t="s">
        <v>717</v>
      </c>
    </row>
    <row r="22" customFormat="false" ht="43.5" hidden="false" customHeight="true" outlineLevel="0" collapsed="false">
      <c r="B22" s="88" t="s">
        <v>720</v>
      </c>
      <c r="C22" s="88" t="s">
        <v>721</v>
      </c>
      <c r="D22" s="88" t="s">
        <v>722</v>
      </c>
    </row>
    <row r="23" customFormat="false" ht="43.5" hidden="false" customHeight="true" outlineLevel="0" collapsed="false">
      <c r="B23" s="88" t="s">
        <v>723</v>
      </c>
      <c r="C23" s="88" t="s">
        <v>724</v>
      </c>
      <c r="D23" s="88" t="s">
        <v>519</v>
      </c>
    </row>
    <row r="24" customFormat="false" ht="43.5" hidden="false" customHeight="true" outlineLevel="0" collapsed="false">
      <c r="B24" s="88" t="s">
        <v>725</v>
      </c>
      <c r="C24" s="88" t="s">
        <v>726</v>
      </c>
      <c r="D24" s="88" t="s">
        <v>717</v>
      </c>
    </row>
    <row r="25" customFormat="false" ht="43.5" hidden="false" customHeight="true" outlineLevel="0" collapsed="false">
      <c r="B25" s="88" t="s">
        <v>727</v>
      </c>
      <c r="C25" s="88" t="s">
        <v>728</v>
      </c>
      <c r="D25" s="88" t="s">
        <v>722</v>
      </c>
    </row>
    <row r="26" customFormat="false" ht="43.5" hidden="false" customHeight="true" outlineLevel="0" collapsed="false">
      <c r="B26" s="88" t="s">
        <v>729</v>
      </c>
      <c r="C26" s="88" t="s">
        <v>730</v>
      </c>
      <c r="D26" s="88" t="s">
        <v>731</v>
      </c>
    </row>
    <row r="27" customFormat="false" ht="43.5" hidden="false" customHeight="true" outlineLevel="0" collapsed="false">
      <c r="B27" s="88" t="s">
        <v>732</v>
      </c>
      <c r="C27" s="88" t="s">
        <v>733</v>
      </c>
      <c r="D27" s="88" t="s">
        <v>519</v>
      </c>
    </row>
    <row r="28" customFormat="false" ht="43.5" hidden="false" customHeight="true" outlineLevel="0" collapsed="false">
      <c r="B28" s="88" t="s">
        <v>734</v>
      </c>
      <c r="C28" s="88" t="s">
        <v>735</v>
      </c>
      <c r="D28" s="88" t="s">
        <v>519</v>
      </c>
    </row>
    <row r="29" customFormat="false" ht="43.5" hidden="false" customHeight="true" outlineLevel="0" collapsed="false">
      <c r="B29" s="88" t="s">
        <v>736</v>
      </c>
      <c r="C29" s="88" t="s">
        <v>737</v>
      </c>
      <c r="D29" s="88" t="s">
        <v>738</v>
      </c>
    </row>
    <row r="30" customFormat="false" ht="43.5" hidden="false" customHeight="true" outlineLevel="0" collapsed="false">
      <c r="B30" s="88" t="s">
        <v>739</v>
      </c>
      <c r="C30" s="88" t="s">
        <v>740</v>
      </c>
      <c r="D30" s="88" t="s">
        <v>741</v>
      </c>
    </row>
    <row r="31" customFormat="false" ht="43.5" hidden="false" customHeight="true" outlineLevel="0" collapsed="false">
      <c r="B31" s="88" t="s">
        <v>742</v>
      </c>
      <c r="C31" s="88" t="s">
        <v>743</v>
      </c>
      <c r="D31" s="88" t="s">
        <v>744</v>
      </c>
    </row>
    <row r="32" customFormat="false" ht="43.5" hidden="false" customHeight="true" outlineLevel="0" collapsed="false">
      <c r="B32" s="88" t="s">
        <v>745</v>
      </c>
      <c r="C32" s="88" t="s">
        <v>746</v>
      </c>
      <c r="D32" s="88" t="s">
        <v>747</v>
      </c>
    </row>
    <row r="33" customFormat="false" ht="43.5" hidden="false" customHeight="true" outlineLevel="0" collapsed="false">
      <c r="B33" s="88" t="s">
        <v>748</v>
      </c>
      <c r="C33" s="88" t="s">
        <v>749</v>
      </c>
      <c r="D33" s="88" t="s">
        <v>750</v>
      </c>
    </row>
    <row r="34" customFormat="false" ht="43.5" hidden="false" customHeight="true" outlineLevel="0" collapsed="false">
      <c r="B34" s="88" t="s">
        <v>751</v>
      </c>
      <c r="C34" s="88" t="s">
        <v>752</v>
      </c>
      <c r="D34" s="88" t="s">
        <v>695</v>
      </c>
    </row>
    <row r="35" customFormat="false" ht="43.5" hidden="false" customHeight="true" outlineLevel="0" collapsed="false">
      <c r="B35" s="88" t="s">
        <v>753</v>
      </c>
      <c r="C35" s="88" t="s">
        <v>754</v>
      </c>
      <c r="D35" s="88" t="s">
        <v>755</v>
      </c>
    </row>
    <row r="36" customFormat="false" ht="43.5" hidden="false" customHeight="true" outlineLevel="0" collapsed="false">
      <c r="B36" s="88" t="s">
        <v>756</v>
      </c>
      <c r="C36" s="88" t="s">
        <v>757</v>
      </c>
      <c r="D36" s="88" t="s">
        <v>758</v>
      </c>
    </row>
    <row r="37" customFormat="false" ht="43.5" hidden="false" customHeight="true" outlineLevel="0" collapsed="false">
      <c r="B37" s="88" t="s">
        <v>759</v>
      </c>
      <c r="C37" s="88" t="s">
        <v>760</v>
      </c>
      <c r="D37" s="88" t="s">
        <v>761</v>
      </c>
    </row>
    <row r="38" customFormat="false" ht="43.5" hidden="false" customHeight="true" outlineLevel="0" collapsed="false">
      <c r="B38" s="88" t="s">
        <v>762</v>
      </c>
      <c r="C38" s="88" t="s">
        <v>763</v>
      </c>
      <c r="D38" s="88" t="s">
        <v>764</v>
      </c>
    </row>
    <row r="40" customFormat="false" ht="15" hidden="false" customHeight="true" outlineLevel="0" collapsed="false">
      <c r="B40" s="57" t="s">
        <v>765</v>
      </c>
      <c r="C40" s="57"/>
      <c r="D40" s="57"/>
    </row>
    <row r="41" customFormat="false" ht="15" hidden="false" customHeight="false" outlineLevel="0" collapsed="false">
      <c r="B41" s="57"/>
      <c r="C41" s="57"/>
      <c r="D41" s="57"/>
    </row>
  </sheetData>
  <mergeCells count="1">
    <mergeCell ref="B40:D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2026-08-08T21:20:11Z</dcterms:created>
  <dc:creator>openpyxl</dc:creator>
  <dc:description/>
  <dc:language>en-US</dc:language>
  <cp:lastModifiedBy/>
  <dcterms:modified xsi:type="dcterms:W3CDTF">2026-08-08T21:20:16Z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